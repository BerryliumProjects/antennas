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TempUserProfiles\NetworkService\AppData\OICE_16_974FA576_32C1D314_2AC5\"/>
    </mc:Choice>
  </mc:AlternateContent>
  <xr:revisionPtr revIDLastSave="17" documentId="8_{D56944F5-7D8E-4210-AE3B-BE1787441661}" xr6:coauthVersionLast="47" xr6:coauthVersionMax="47" xr10:uidLastSave="{4050E7A5-D6D5-46D2-A0BB-C5BF4E21B2AE}"/>
  <bookViews>
    <workbookView xWindow="-120" yWindow="-120" windowWidth="15600" windowHeight="11760" xr2:uid="{00000000-000D-0000-FFFF-FFFF00000000}"/>
  </bookViews>
  <sheets>
    <sheet name="Main" sheetId="1" r:id="rId1"/>
    <sheet name="Formulas" sheetId="2" r:id="rId2"/>
    <sheet name="Calc1" sheetId="3" r:id="rId3"/>
  </sheets>
  <definedNames>
    <definedName name="eqa" localSheetId="1">Formulas!$C$2</definedName>
    <definedName name="ref" localSheetId="1">Formulas!$B$24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  <c r="B4" i="3"/>
  <c r="D4" i="3"/>
  <c r="B5" i="3"/>
  <c r="D5" i="3"/>
  <c r="B6" i="3"/>
  <c r="D6" i="3"/>
  <c r="B7" i="3"/>
  <c r="B8" i="3"/>
  <c r="D8" i="3"/>
  <c r="B11" i="3"/>
  <c r="B9" i="3" s="1"/>
  <c r="D11" i="3"/>
  <c r="B12" i="3"/>
  <c r="D12" i="3"/>
  <c r="B13" i="3"/>
  <c r="D13" i="3"/>
  <c r="B14" i="3"/>
  <c r="D14" i="3"/>
  <c r="B15" i="3"/>
  <c r="D15" i="3"/>
  <c r="B16" i="3"/>
  <c r="D16" i="3"/>
  <c r="F16" i="3"/>
  <c r="B17" i="3"/>
  <c r="D17" i="3"/>
  <c r="B18" i="3"/>
  <c r="B19" i="3"/>
  <c r="D19" i="3"/>
  <c r="B20" i="3"/>
  <c r="B21" i="3"/>
  <c r="D21" i="3"/>
  <c r="B22" i="3"/>
  <c r="B23" i="3"/>
  <c r="B24" i="3"/>
  <c r="D24" i="3"/>
  <c r="F24" i="3"/>
  <c r="D25" i="3"/>
  <c r="B25" i="3" s="1"/>
  <c r="B26" i="3"/>
  <c r="B32" i="3"/>
  <c r="C32" i="3"/>
  <c r="D32" i="3"/>
  <c r="E32" i="3"/>
  <c r="F32" i="3"/>
  <c r="G32" i="3"/>
  <c r="H32" i="3"/>
  <c r="I32" i="3"/>
  <c r="J32" i="3"/>
  <c r="K32" i="3"/>
  <c r="L32" i="3"/>
  <c r="M32" i="3"/>
  <c r="B33" i="3"/>
  <c r="C33" i="3"/>
  <c r="D33" i="3"/>
  <c r="E33" i="3"/>
  <c r="F33" i="3"/>
  <c r="G33" i="3"/>
  <c r="H33" i="3"/>
  <c r="I33" i="3"/>
  <c r="J33" i="3"/>
  <c r="K33" i="3"/>
  <c r="L33" i="3"/>
  <c r="M33" i="3"/>
  <c r="B34" i="3"/>
  <c r="C34" i="3"/>
  <c r="D34" i="3"/>
  <c r="E34" i="3"/>
  <c r="F34" i="3"/>
  <c r="G34" i="3"/>
  <c r="H34" i="3"/>
  <c r="I34" i="3"/>
  <c r="J34" i="3"/>
  <c r="K34" i="3"/>
  <c r="L34" i="3"/>
  <c r="M34" i="3"/>
  <c r="B35" i="3"/>
  <c r="C35" i="3"/>
  <c r="D35" i="3"/>
  <c r="E35" i="3"/>
  <c r="F35" i="3"/>
  <c r="G35" i="3"/>
  <c r="H35" i="3"/>
  <c r="I35" i="3"/>
  <c r="J35" i="3"/>
  <c r="K35" i="3"/>
  <c r="L35" i="3"/>
  <c r="M35" i="3"/>
  <c r="B36" i="3"/>
  <c r="C36" i="3"/>
  <c r="D36" i="3"/>
  <c r="E36" i="3"/>
  <c r="F36" i="3"/>
  <c r="G36" i="3"/>
  <c r="H36" i="3"/>
  <c r="I36" i="3"/>
  <c r="J36" i="3"/>
  <c r="K36" i="3"/>
  <c r="L36" i="3"/>
  <c r="M36" i="3"/>
  <c r="B37" i="3"/>
  <c r="C37" i="3"/>
  <c r="D37" i="3"/>
  <c r="E37" i="3"/>
  <c r="F37" i="3"/>
  <c r="G37" i="3"/>
  <c r="H37" i="3"/>
  <c r="I37" i="3"/>
  <c r="J37" i="3"/>
  <c r="K37" i="3"/>
  <c r="L37" i="3"/>
  <c r="M37" i="3"/>
  <c r="B38" i="3"/>
  <c r="C38" i="3"/>
  <c r="D38" i="3"/>
  <c r="E38" i="3"/>
  <c r="F38" i="3"/>
  <c r="G38" i="3"/>
  <c r="H38" i="3"/>
  <c r="I38" i="3"/>
  <c r="J38" i="3"/>
  <c r="K38" i="3"/>
  <c r="L38" i="3"/>
  <c r="M38" i="3"/>
  <c r="B39" i="3"/>
  <c r="C39" i="3"/>
  <c r="D39" i="3"/>
  <c r="E39" i="3"/>
  <c r="F39" i="3"/>
  <c r="G39" i="3"/>
  <c r="H39" i="3"/>
  <c r="I39" i="3"/>
  <c r="J39" i="3"/>
  <c r="K39" i="3"/>
  <c r="L39" i="3"/>
  <c r="M39" i="3"/>
  <c r="B40" i="3"/>
  <c r="C40" i="3"/>
  <c r="D40" i="3"/>
  <c r="E40" i="3"/>
  <c r="F40" i="3"/>
  <c r="G40" i="3"/>
  <c r="H40" i="3"/>
  <c r="I40" i="3"/>
  <c r="J40" i="3"/>
  <c r="K40" i="3"/>
  <c r="L40" i="3"/>
  <c r="M40" i="3"/>
  <c r="B41" i="3"/>
  <c r="C41" i="3"/>
  <c r="D41" i="3"/>
  <c r="E41" i="3"/>
  <c r="F41" i="3"/>
  <c r="G41" i="3"/>
  <c r="H41" i="3"/>
  <c r="I41" i="3"/>
  <c r="J41" i="3"/>
  <c r="K41" i="3"/>
  <c r="L41" i="3"/>
  <c r="M41" i="3"/>
  <c r="B42" i="3"/>
  <c r="C42" i="3"/>
  <c r="D42" i="3"/>
  <c r="E42" i="3"/>
  <c r="F42" i="3"/>
  <c r="G42" i="3"/>
  <c r="H42" i="3"/>
  <c r="I42" i="3"/>
  <c r="J42" i="3"/>
  <c r="K42" i="3"/>
  <c r="L42" i="3"/>
  <c r="M42" i="3"/>
  <c r="B43" i="3"/>
  <c r="C43" i="3"/>
  <c r="D43" i="3"/>
  <c r="E43" i="3"/>
  <c r="F43" i="3"/>
  <c r="G43" i="3"/>
  <c r="H43" i="3"/>
  <c r="I43" i="3"/>
  <c r="J43" i="3"/>
  <c r="K43" i="3"/>
  <c r="L43" i="3"/>
  <c r="M43" i="3"/>
  <c r="B44" i="3"/>
  <c r="C44" i="3"/>
  <c r="D44" i="3"/>
  <c r="E44" i="3"/>
  <c r="F44" i="3"/>
  <c r="G44" i="3"/>
  <c r="H44" i="3"/>
  <c r="I44" i="3"/>
  <c r="J44" i="3"/>
  <c r="K44" i="3"/>
  <c r="L44" i="3"/>
  <c r="M44" i="3"/>
  <c r="B45" i="3"/>
  <c r="C45" i="3"/>
  <c r="D45" i="3"/>
  <c r="E45" i="3"/>
  <c r="F45" i="3"/>
  <c r="G45" i="3"/>
  <c r="H45" i="3"/>
  <c r="I45" i="3"/>
  <c r="J45" i="3"/>
  <c r="K45" i="3"/>
  <c r="L45" i="3"/>
  <c r="M45" i="3"/>
  <c r="B46" i="3"/>
  <c r="C46" i="3"/>
  <c r="D46" i="3"/>
  <c r="E46" i="3"/>
  <c r="F46" i="3"/>
  <c r="G46" i="3"/>
  <c r="H46" i="3"/>
  <c r="I46" i="3"/>
  <c r="J46" i="3"/>
  <c r="K46" i="3"/>
  <c r="L46" i="3"/>
  <c r="M46" i="3"/>
  <c r="B47" i="3"/>
  <c r="C47" i="3"/>
  <c r="D47" i="3"/>
  <c r="E47" i="3"/>
  <c r="F47" i="3"/>
  <c r="G47" i="3"/>
  <c r="H47" i="3"/>
  <c r="I47" i="3"/>
  <c r="J47" i="3"/>
  <c r="K47" i="3"/>
  <c r="L47" i="3"/>
  <c r="M47" i="3"/>
  <c r="B48" i="3"/>
  <c r="C48" i="3"/>
  <c r="D48" i="3"/>
  <c r="E48" i="3"/>
  <c r="F48" i="3"/>
  <c r="G48" i="3"/>
  <c r="H48" i="3"/>
  <c r="I48" i="3"/>
  <c r="J48" i="3"/>
  <c r="K48" i="3"/>
  <c r="L48" i="3"/>
  <c r="M48" i="3"/>
  <c r="B49" i="3"/>
  <c r="C49" i="3"/>
  <c r="D49" i="3"/>
  <c r="E49" i="3"/>
  <c r="F49" i="3"/>
  <c r="G49" i="3"/>
  <c r="H49" i="3"/>
  <c r="I49" i="3"/>
  <c r="J49" i="3"/>
  <c r="K49" i="3"/>
  <c r="L49" i="3"/>
  <c r="M49" i="3"/>
  <c r="B50" i="3"/>
  <c r="C50" i="3"/>
  <c r="D50" i="3"/>
  <c r="E50" i="3"/>
  <c r="F50" i="3"/>
  <c r="G50" i="3"/>
  <c r="H50" i="3"/>
  <c r="I50" i="3"/>
  <c r="J50" i="3"/>
  <c r="K50" i="3"/>
  <c r="L50" i="3"/>
  <c r="M50" i="3"/>
  <c r="B51" i="3"/>
  <c r="C51" i="3"/>
  <c r="D51" i="3"/>
  <c r="E51" i="3"/>
  <c r="F51" i="3"/>
  <c r="G51" i="3"/>
  <c r="H51" i="3"/>
  <c r="I51" i="3"/>
  <c r="J51" i="3"/>
  <c r="K51" i="3"/>
  <c r="L51" i="3"/>
  <c r="M51" i="3"/>
  <c r="B52" i="3"/>
  <c r="C52" i="3"/>
  <c r="D52" i="3"/>
  <c r="E52" i="3"/>
  <c r="F52" i="3"/>
  <c r="G52" i="3"/>
  <c r="H52" i="3"/>
  <c r="I52" i="3"/>
  <c r="J52" i="3"/>
  <c r="K52" i="3"/>
  <c r="L52" i="3"/>
  <c r="M52" i="3"/>
  <c r="B53" i="3"/>
  <c r="C53" i="3"/>
  <c r="D53" i="3"/>
  <c r="E53" i="3"/>
  <c r="F53" i="3"/>
  <c r="G53" i="3"/>
  <c r="H53" i="3"/>
  <c r="I53" i="3"/>
  <c r="J53" i="3"/>
  <c r="K53" i="3"/>
  <c r="L53" i="3"/>
  <c r="M53" i="3"/>
  <c r="B54" i="3"/>
  <c r="C54" i="3"/>
  <c r="D54" i="3"/>
  <c r="E54" i="3"/>
  <c r="F54" i="3"/>
  <c r="G54" i="3"/>
  <c r="H54" i="3"/>
  <c r="I54" i="3"/>
  <c r="J54" i="3"/>
  <c r="K54" i="3"/>
  <c r="L54" i="3"/>
  <c r="M54" i="3"/>
  <c r="B55" i="3"/>
  <c r="C55" i="3"/>
  <c r="D55" i="3"/>
  <c r="E55" i="3"/>
  <c r="F55" i="3"/>
  <c r="G55" i="3"/>
  <c r="H55" i="3"/>
  <c r="I55" i="3"/>
  <c r="J55" i="3"/>
  <c r="K55" i="3"/>
  <c r="L55" i="3"/>
  <c r="M55" i="3"/>
  <c r="B56" i="3"/>
  <c r="C56" i="3"/>
  <c r="D56" i="3"/>
  <c r="E56" i="3"/>
  <c r="F56" i="3"/>
  <c r="G56" i="3"/>
  <c r="H56" i="3"/>
  <c r="I56" i="3"/>
  <c r="J56" i="3"/>
  <c r="K56" i="3"/>
  <c r="L56" i="3"/>
  <c r="M56" i="3"/>
  <c r="B57" i="3"/>
  <c r="C57" i="3"/>
  <c r="D57" i="3"/>
  <c r="E57" i="3"/>
  <c r="F57" i="3"/>
  <c r="G57" i="3"/>
  <c r="H57" i="3"/>
  <c r="I57" i="3"/>
  <c r="J57" i="3"/>
  <c r="K57" i="3"/>
  <c r="L57" i="3"/>
  <c r="M57" i="3"/>
  <c r="B58" i="3"/>
  <c r="C58" i="3"/>
  <c r="D58" i="3"/>
  <c r="E58" i="3"/>
  <c r="F58" i="3"/>
  <c r="G58" i="3"/>
  <c r="H58" i="3"/>
  <c r="I58" i="3"/>
  <c r="J58" i="3"/>
  <c r="K58" i="3"/>
  <c r="L58" i="3"/>
  <c r="M58" i="3"/>
  <c r="B59" i="3"/>
  <c r="C59" i="3"/>
  <c r="D59" i="3"/>
  <c r="E59" i="3"/>
  <c r="F59" i="3"/>
  <c r="G59" i="3"/>
  <c r="H59" i="3"/>
  <c r="I59" i="3"/>
  <c r="J59" i="3"/>
  <c r="K59" i="3"/>
  <c r="L59" i="3"/>
  <c r="M59" i="3"/>
  <c r="B60" i="3"/>
  <c r="C60" i="3"/>
  <c r="D60" i="3"/>
  <c r="E60" i="3"/>
  <c r="F60" i="3"/>
  <c r="G60" i="3"/>
  <c r="H60" i="3"/>
  <c r="I60" i="3"/>
  <c r="J60" i="3"/>
  <c r="K60" i="3"/>
  <c r="L60" i="3"/>
  <c r="M60" i="3"/>
  <c r="B61" i="3"/>
  <c r="C61" i="3"/>
  <c r="D61" i="3"/>
  <c r="E61" i="3"/>
  <c r="F61" i="3"/>
  <c r="G61" i="3"/>
  <c r="H61" i="3"/>
  <c r="I61" i="3"/>
  <c r="J61" i="3"/>
  <c r="K61" i="3"/>
  <c r="L61" i="3"/>
  <c r="M61" i="3"/>
  <c r="E10" i="1"/>
  <c r="E11" i="1"/>
  <c r="C17" i="1"/>
  <c r="C18" i="1"/>
  <c r="E18" i="1"/>
  <c r="C19" i="1"/>
  <c r="E19" i="1"/>
  <c r="C20" i="1"/>
  <c r="C21" i="1"/>
  <c r="C22" i="1"/>
  <c r="E22" i="1"/>
  <c r="C23" i="1"/>
  <c r="C24" i="1"/>
  <c r="C25" i="1"/>
  <c r="C26" i="1"/>
  <c r="C27" i="1"/>
  <c r="C28" i="1"/>
  <c r="C29" i="1"/>
  <c r="E29" i="1"/>
  <c r="C30" i="1"/>
</calcChain>
</file>

<file path=xl/sharedStrings.xml><?xml version="1.0" encoding="utf-8"?>
<sst xmlns="http://schemas.openxmlformats.org/spreadsheetml/2006/main" count="191" uniqueCount="143">
  <si>
    <t>Small Magnetic Loop Antenna Calculator ver. 1.22a</t>
  </si>
  <si>
    <t>by Steve Yates</t>
  </si>
  <si>
    <t>AA5TB</t>
  </si>
  <si>
    <t>aa5tb@yahoo.com</t>
  </si>
  <si>
    <t>Updated April 28, 2009</t>
  </si>
  <si>
    <t>Input the following parameters:</t>
  </si>
  <si>
    <t>Design Frequency =</t>
  </si>
  <si>
    <t>MHz</t>
  </si>
  <si>
    <t>Loop Diameter =</t>
  </si>
  <si>
    <t>feet</t>
  </si>
  <si>
    <t>m</t>
  </si>
  <si>
    <t>Conductor Diameter =</t>
  </si>
  <si>
    <t>inches</t>
  </si>
  <si>
    <t>mm</t>
  </si>
  <si>
    <t>Added Loss Resistance =</t>
  </si>
  <si>
    <t>milliohms</t>
  </si>
  <si>
    <t xml:space="preserve">RF Power = </t>
  </si>
  <si>
    <t>Watts</t>
  </si>
  <si>
    <t>Calculated Results:</t>
  </si>
  <si>
    <t>Bandwidth =</t>
  </si>
  <si>
    <t>kHz (-3 dB points)</t>
  </si>
  <si>
    <t>Efficiency =</t>
  </si>
  <si>
    <t>%</t>
  </si>
  <si>
    <t>dB</t>
  </si>
  <si>
    <t>Loop Area =</t>
  </si>
  <si>
    <t>ft²</t>
  </si>
  <si>
    <t>m²</t>
  </si>
  <si>
    <t>Radiation Resistance =</t>
  </si>
  <si>
    <t>mΩ</t>
  </si>
  <si>
    <t>Total Loss Resistance =</t>
  </si>
  <si>
    <t>Loop Circumference =</t>
  </si>
  <si>
    <t xml:space="preserve">ft </t>
  </si>
  <si>
    <t>Wavelength Percentage =</t>
  </si>
  <si>
    <t>% λ</t>
  </si>
  <si>
    <t>Loop Inductance =</t>
  </si>
  <si>
    <t>μH</t>
  </si>
  <si>
    <t>Distributed Capacitance =</t>
  </si>
  <si>
    <t>pF</t>
  </si>
  <si>
    <t>Q (Quality Factor) =</t>
  </si>
  <si>
    <t>Tuning Capacitor =</t>
  </si>
  <si>
    <t>Capacitor Voltage =</t>
  </si>
  <si>
    <t>V</t>
  </si>
  <si>
    <t>Minimum Plate Spacing =</t>
  </si>
  <si>
    <t>mils (1/1000 in)</t>
  </si>
  <si>
    <t>Radiated Power =</t>
  </si>
  <si>
    <t>Notes:</t>
  </si>
  <si>
    <r>
      <t xml:space="preserve">1. To truly be considered a small loop, the </t>
    </r>
    <r>
      <rPr>
        <b/>
        <sz val="10"/>
        <rFont val="Arial"/>
        <family val="2"/>
      </rPr>
      <t>Loop Circumference</t>
    </r>
    <r>
      <rPr>
        <sz val="10"/>
        <rFont val="Arial"/>
        <family val="2"/>
      </rPr>
      <t xml:space="preserve"> should be less </t>
    </r>
  </si>
  <si>
    <t xml:space="preserve">    then 10 % λ.  Larger loops will have greater efficiency but smaller nulls. </t>
  </si>
  <si>
    <r>
      <t xml:space="preserve">2. To see the effects of bad joints, etc., input realistic values into the </t>
    </r>
    <r>
      <rPr>
        <b/>
        <sz val="10"/>
        <rFont val="Arial"/>
        <family val="2"/>
      </rPr>
      <t xml:space="preserve">Added  </t>
    </r>
  </si>
  <si>
    <r>
      <t xml:space="preserve">    Loss Resistance</t>
    </r>
    <r>
      <rPr>
        <sz val="10"/>
        <rFont val="Arial"/>
        <family val="2"/>
      </rPr>
      <t xml:space="preserve"> box.</t>
    </r>
  </si>
  <si>
    <t>3. The sheets are protected to prevent the user that is unfamiliar with Excel from</t>
  </si>
  <si>
    <r>
      <t xml:space="preserve">    accidentally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 xml:space="preserve">corrupting formulas.  To unlock the sheets use the password </t>
    </r>
    <r>
      <rPr>
        <b/>
        <sz val="10"/>
        <rFont val="Arial"/>
        <family val="2"/>
      </rPr>
      <t>aa5tb</t>
    </r>
    <r>
      <rPr>
        <sz val="10"/>
        <rFont val="Arial"/>
        <family val="2"/>
      </rPr>
      <t>.</t>
    </r>
  </si>
  <si>
    <t>4. This application is free to use as you wish.  If you modify it and pass it on all</t>
  </si>
  <si>
    <r>
      <t xml:space="preserve">    </t>
    </r>
    <r>
      <rPr>
        <sz val="10"/>
        <rFont val="Arial"/>
        <family val="2"/>
      </rPr>
      <t>that I ask is that you give me credit for my part of the work. Thanks!</t>
    </r>
  </si>
  <si>
    <t>Small Loop Equations for a Copper Loop</t>
  </si>
  <si>
    <t xml:space="preserve">(circular loop assumed, results may vary with other shapes) </t>
  </si>
  <si>
    <r>
      <t>Radiation Resistance, Ohms: R</t>
    </r>
    <r>
      <rPr>
        <sz val="7.5"/>
        <rFont val="Comic Sans MS"/>
        <family val="4"/>
      </rPr>
      <t>R</t>
    </r>
    <r>
      <rPr>
        <sz val="10"/>
        <rFont val="Comic Sans MS"/>
        <family val="4"/>
      </rPr>
      <t xml:space="preserve"> = (3.38×10↑-8)(f²A)²</t>
    </r>
  </si>
  <si>
    <r>
      <t>Loss Resistance, Ohms: R</t>
    </r>
    <r>
      <rPr>
        <sz val="7.5"/>
        <rFont val="Comic Sans MS"/>
        <family val="4"/>
      </rPr>
      <t>L</t>
    </r>
    <r>
      <rPr>
        <sz val="10"/>
        <rFont val="Comic Sans MS"/>
        <family val="4"/>
      </rPr>
      <t xml:space="preserve"> = (9.96×10↑-4)(√f)(S/d)</t>
    </r>
  </si>
  <si>
    <r>
      <t>Efficiency: η = R</t>
    </r>
    <r>
      <rPr>
        <sz val="7.5"/>
        <rFont val="Comic Sans MS"/>
        <family val="4"/>
      </rPr>
      <t>R</t>
    </r>
    <r>
      <rPr>
        <sz val="10"/>
        <rFont val="Comic Sans MS"/>
        <family val="4"/>
      </rPr>
      <t>/(R</t>
    </r>
    <r>
      <rPr>
        <sz val="7.5"/>
        <rFont val="Comic Sans MS"/>
        <family val="4"/>
      </rPr>
      <t>R</t>
    </r>
    <r>
      <rPr>
        <sz val="10"/>
        <rFont val="Comic Sans MS"/>
        <family val="4"/>
      </rPr>
      <t>+R</t>
    </r>
    <r>
      <rPr>
        <sz val="7.5"/>
        <rFont val="Comic Sans MS"/>
        <family val="4"/>
      </rPr>
      <t>L</t>
    </r>
    <r>
      <rPr>
        <sz val="10"/>
        <rFont val="Comic Sans MS"/>
        <family val="4"/>
      </rPr>
      <t>)</t>
    </r>
  </si>
  <si>
    <r>
      <t>Inductance, Henrys: L = (1.9×10↑-8)S[7.353log</t>
    </r>
    <r>
      <rPr>
        <sz val="7.5"/>
        <rFont val="Comic Sans MS"/>
        <family val="4"/>
      </rPr>
      <t>10</t>
    </r>
    <r>
      <rPr>
        <sz val="10"/>
        <rFont val="Comic Sans MS"/>
        <family val="4"/>
      </rPr>
      <t>(96S/πd)-6.386]</t>
    </r>
  </si>
  <si>
    <r>
      <t>Inductive Reactance, Ohms: X</t>
    </r>
    <r>
      <rPr>
        <sz val="7.5"/>
        <rFont val="Comic Sans MS"/>
        <family val="4"/>
      </rPr>
      <t>L</t>
    </r>
    <r>
      <rPr>
        <sz val="10"/>
        <rFont val="Comic Sans MS"/>
        <family val="4"/>
      </rPr>
      <t xml:space="preserve"> = 2πf(L×10↑6)</t>
    </r>
  </si>
  <si>
    <r>
      <t>Tuning Capacitor, Farads: C</t>
    </r>
    <r>
      <rPr>
        <sz val="7.5"/>
        <rFont val="Comic Sans MS"/>
        <family val="4"/>
      </rPr>
      <t>T</t>
    </r>
    <r>
      <rPr>
        <sz val="10"/>
        <rFont val="Comic Sans MS"/>
        <family val="4"/>
      </rPr>
      <t xml:space="preserve"> = 1/2πf(X</t>
    </r>
    <r>
      <rPr>
        <sz val="8"/>
        <rFont val="Comic Sans MS"/>
        <family val="4"/>
      </rPr>
      <t>L</t>
    </r>
    <r>
      <rPr>
        <sz val="10"/>
        <rFont val="Comic Sans MS"/>
        <family val="4"/>
      </rPr>
      <t>×10↑6)</t>
    </r>
  </si>
  <si>
    <r>
      <t>Quality Factor: Q = (f×10↑6)/Δf = X</t>
    </r>
    <r>
      <rPr>
        <sz val="7.5"/>
        <rFont val="Comic Sans MS"/>
        <family val="4"/>
      </rPr>
      <t>L</t>
    </r>
    <r>
      <rPr>
        <sz val="10"/>
        <rFont val="Comic Sans MS"/>
        <family val="4"/>
      </rPr>
      <t>/2(R</t>
    </r>
    <r>
      <rPr>
        <sz val="7.5"/>
        <rFont val="Comic Sans MS"/>
        <family val="4"/>
      </rPr>
      <t>R</t>
    </r>
    <r>
      <rPr>
        <sz val="10"/>
        <rFont val="Comic Sans MS"/>
        <family val="4"/>
      </rPr>
      <t xml:space="preserve"> + R</t>
    </r>
    <r>
      <rPr>
        <sz val="7.5"/>
        <rFont val="Comic Sans MS"/>
        <family val="4"/>
      </rPr>
      <t>L</t>
    </r>
    <r>
      <rPr>
        <sz val="10"/>
        <rFont val="Comic Sans MS"/>
        <family val="4"/>
      </rPr>
      <t>)</t>
    </r>
  </si>
  <si>
    <t>RAE book defines as Q=XL/(RR+RL)</t>
  </si>
  <si>
    <r>
      <t>Bandwidth, Hertz: Δf = (f×10↑6)/Q = [(f</t>
    </r>
    <r>
      <rPr>
        <sz val="7.5"/>
        <rFont val="Comic Sans MS"/>
        <family val="4"/>
      </rPr>
      <t>1</t>
    </r>
    <r>
      <rPr>
        <sz val="10"/>
        <rFont val="Comic Sans MS"/>
        <family val="4"/>
      </rPr>
      <t>-f</t>
    </r>
    <r>
      <rPr>
        <sz val="7.5"/>
        <rFont val="Comic Sans MS"/>
        <family val="4"/>
      </rPr>
      <t>2</t>
    </r>
    <r>
      <rPr>
        <sz val="10"/>
        <rFont val="Comic Sans MS"/>
        <family val="4"/>
      </rPr>
      <t>)×10↑6]</t>
    </r>
  </si>
  <si>
    <t>Would be 2DF in RAE book</t>
  </si>
  <si>
    <r>
      <t>Distributed Capacity: pF: C</t>
    </r>
    <r>
      <rPr>
        <sz val="7.5"/>
        <rFont val="Comic Sans MS"/>
        <family val="4"/>
      </rPr>
      <t>D</t>
    </r>
    <r>
      <rPr>
        <sz val="10"/>
        <rFont val="Comic Sans MS"/>
        <family val="4"/>
      </rPr>
      <t xml:space="preserve"> = 0.82S</t>
    </r>
  </si>
  <si>
    <r>
      <t>Capacitor Potential, Volts: V</t>
    </r>
    <r>
      <rPr>
        <sz val="7.5"/>
        <rFont val="Comic Sans MS"/>
        <family val="4"/>
      </rPr>
      <t>C</t>
    </r>
    <r>
      <rPr>
        <sz val="10"/>
        <rFont val="Comic Sans MS"/>
        <family val="4"/>
      </rPr>
      <t xml:space="preserve"> = √(PX</t>
    </r>
    <r>
      <rPr>
        <sz val="7.5"/>
        <rFont val="Comic Sans MS"/>
        <family val="4"/>
      </rPr>
      <t>L</t>
    </r>
    <r>
      <rPr>
        <sz val="10"/>
        <rFont val="Comic Sans MS"/>
        <family val="4"/>
      </rPr>
      <t>Q)</t>
    </r>
  </si>
  <si>
    <t>Capacitor Voltage Rating: 75,000V/in</t>
  </si>
  <si>
    <t xml:space="preserve">where </t>
  </si>
  <si>
    <t>f = operating frequency, MHz</t>
  </si>
  <si>
    <t>A = area of loop, square feet</t>
  </si>
  <si>
    <t>S = conductor length, feet</t>
  </si>
  <si>
    <t>d = conductor diameter, inches</t>
  </si>
  <si>
    <r>
      <t>η = decimal value; dB = 10 log</t>
    </r>
    <r>
      <rPr>
        <sz val="7.5"/>
        <rFont val="Comic Sans MS"/>
        <family val="4"/>
      </rPr>
      <t>10</t>
    </r>
    <r>
      <rPr>
        <sz val="10"/>
        <rFont val="Comic Sans MS"/>
        <family val="4"/>
      </rPr>
      <t>η</t>
    </r>
  </si>
  <si>
    <t>P = transmitter power, Watts</t>
  </si>
  <si>
    <t xml:space="preserve">Ref. </t>
  </si>
  <si>
    <t xml:space="preserve">The American Radio Relay League, The ARRL Antenna Handbook, </t>
  </si>
  <si>
    <t xml:space="preserve">Small High Efficiency Loop Antennas for Transmitting,  </t>
  </si>
  <si>
    <t>Publication No. 15, p. 5-14, Table 4, 1988</t>
  </si>
  <si>
    <t>Givens:</t>
  </si>
  <si>
    <r>
      <t>π</t>
    </r>
    <r>
      <rPr>
        <sz val="10"/>
        <rFont val="Arial"/>
        <family val="2"/>
      </rPr>
      <t xml:space="preserve"> =</t>
    </r>
  </si>
  <si>
    <r>
      <t xml:space="preserve">Loop Diameter </t>
    </r>
    <r>
      <rPr>
        <b/>
        <sz val="10"/>
        <rFont val="Arial"/>
        <family val="2"/>
      </rPr>
      <t>D</t>
    </r>
    <r>
      <rPr>
        <sz val="10"/>
        <rFont val="Arial"/>
        <family val="2"/>
      </rPr>
      <t>=</t>
    </r>
  </si>
  <si>
    <r>
      <t xml:space="preserve">Conductor Diameter </t>
    </r>
    <r>
      <rPr>
        <b/>
        <sz val="10"/>
        <rFont val="Arial"/>
        <family val="2"/>
      </rPr>
      <t>d</t>
    </r>
    <r>
      <rPr>
        <sz val="10"/>
        <rFont val="Arial"/>
        <family val="2"/>
      </rPr>
      <t>=</t>
    </r>
  </si>
  <si>
    <r>
      <t xml:space="preserve">Added Loss Resistance </t>
    </r>
    <r>
      <rPr>
        <b/>
        <sz val="10"/>
        <rFont val="Arial"/>
        <family val="2"/>
      </rPr>
      <t>R</t>
    </r>
    <r>
      <rPr>
        <b/>
        <sz val="8"/>
        <rFont val="Arial"/>
        <family val="2"/>
      </rPr>
      <t>L</t>
    </r>
    <r>
      <rPr>
        <sz val="10"/>
        <rFont val="Arial"/>
        <family val="2"/>
      </rPr>
      <t>=</t>
    </r>
  </si>
  <si>
    <t>Ω</t>
  </si>
  <si>
    <r>
      <t xml:space="preserve">RF Power </t>
    </r>
    <r>
      <rPr>
        <b/>
        <sz val="10"/>
        <rFont val="Arial"/>
        <family val="2"/>
      </rPr>
      <t>P</t>
    </r>
    <r>
      <rPr>
        <sz val="10"/>
        <rFont val="Arial"/>
        <family val="2"/>
      </rPr>
      <t>=</t>
    </r>
  </si>
  <si>
    <r>
      <t xml:space="preserve">Frequency </t>
    </r>
    <r>
      <rPr>
        <b/>
        <sz val="10"/>
        <rFont val="Arial"/>
        <family val="2"/>
      </rPr>
      <t>F</t>
    </r>
    <r>
      <rPr>
        <sz val="10"/>
        <rFont val="Arial"/>
        <family val="2"/>
      </rPr>
      <t>=</t>
    </r>
  </si>
  <si>
    <t>Hz</t>
  </si>
  <si>
    <t>Calculations:</t>
  </si>
  <si>
    <r>
      <t xml:space="preserve">Loop Circumference </t>
    </r>
    <r>
      <rPr>
        <b/>
        <sz val="10"/>
        <rFont val="Arial"/>
        <family val="2"/>
      </rPr>
      <t>S</t>
    </r>
    <r>
      <rPr>
        <sz val="10"/>
        <rFont val="Arial"/>
        <family val="2"/>
      </rPr>
      <t xml:space="preserve">= </t>
    </r>
  </si>
  <si>
    <t>ft</t>
  </si>
  <si>
    <r>
      <t xml:space="preserve">Loop Area </t>
    </r>
    <r>
      <rPr>
        <b/>
        <sz val="10"/>
        <rFont val="Arial"/>
        <family val="2"/>
      </rPr>
      <t>A</t>
    </r>
    <r>
      <rPr>
        <sz val="10"/>
        <rFont val="Arial"/>
        <family val="2"/>
      </rPr>
      <t>=</t>
    </r>
  </si>
  <si>
    <r>
      <t xml:space="preserve">Radiation Resistance </t>
    </r>
    <r>
      <rPr>
        <b/>
        <sz val="10"/>
        <rFont val="Arial"/>
        <family val="2"/>
      </rPr>
      <t>R</t>
    </r>
    <r>
      <rPr>
        <b/>
        <sz val="8"/>
        <rFont val="Arial"/>
        <family val="2"/>
      </rPr>
      <t>R</t>
    </r>
    <r>
      <rPr>
        <sz val="10"/>
        <rFont val="Arial"/>
        <family val="2"/>
      </rPr>
      <t>=</t>
    </r>
  </si>
  <si>
    <r>
      <t xml:space="preserve">Loss Resistance </t>
    </r>
    <r>
      <rPr>
        <b/>
        <sz val="10"/>
        <rFont val="Arial"/>
        <family val="2"/>
      </rPr>
      <t>R</t>
    </r>
    <r>
      <rPr>
        <b/>
        <sz val="8"/>
        <rFont val="Arial"/>
        <family val="2"/>
      </rPr>
      <t>L=</t>
    </r>
  </si>
  <si>
    <r>
      <t xml:space="preserve">Total Loss Resistance </t>
    </r>
    <r>
      <rPr>
        <b/>
        <sz val="10"/>
        <rFont val="Arial"/>
        <family val="2"/>
      </rPr>
      <t>R</t>
    </r>
    <r>
      <rPr>
        <b/>
        <sz val="8"/>
        <rFont val="Arial"/>
        <family val="2"/>
      </rPr>
      <t>T</t>
    </r>
    <r>
      <rPr>
        <sz val="10"/>
        <rFont val="Arial"/>
        <family val="2"/>
      </rPr>
      <t>=</t>
    </r>
  </si>
  <si>
    <r>
      <t xml:space="preserve">Efficiency </t>
    </r>
    <r>
      <rPr>
        <b/>
        <sz val="10"/>
        <rFont val="Arial"/>
        <family val="2"/>
      </rPr>
      <t>η</t>
    </r>
    <r>
      <rPr>
        <sz val="10"/>
        <rFont val="Arial"/>
        <family val="2"/>
      </rPr>
      <t>=</t>
    </r>
  </si>
  <si>
    <r>
      <t xml:space="preserve">Inductance </t>
    </r>
    <r>
      <rPr>
        <b/>
        <sz val="10"/>
        <rFont val="Arial"/>
        <family val="2"/>
      </rPr>
      <t>L</t>
    </r>
    <r>
      <rPr>
        <sz val="10"/>
        <rFont val="Arial"/>
        <family val="2"/>
      </rPr>
      <t>=</t>
    </r>
  </si>
  <si>
    <t>H</t>
  </si>
  <si>
    <r>
      <t xml:space="preserve">Inductive Reactance </t>
    </r>
    <r>
      <rPr>
        <b/>
        <sz val="10"/>
        <rFont val="Arial"/>
        <family val="2"/>
      </rPr>
      <t>X</t>
    </r>
    <r>
      <rPr>
        <b/>
        <sz val="8"/>
        <rFont val="Arial"/>
        <family val="2"/>
      </rPr>
      <t>L</t>
    </r>
    <r>
      <rPr>
        <sz val="10"/>
        <rFont val="Arial"/>
        <family val="2"/>
      </rPr>
      <t>=</t>
    </r>
  </si>
  <si>
    <r>
      <t xml:space="preserve">Tuning Capacitor </t>
    </r>
    <r>
      <rPr>
        <b/>
        <sz val="10"/>
        <rFont val="Arial"/>
        <family val="2"/>
      </rPr>
      <t>C</t>
    </r>
    <r>
      <rPr>
        <b/>
        <sz val="8"/>
        <rFont val="Arial"/>
        <family val="2"/>
      </rPr>
      <t>T</t>
    </r>
    <r>
      <rPr>
        <sz val="10"/>
        <rFont val="Arial"/>
        <family val="2"/>
      </rPr>
      <t>=</t>
    </r>
  </si>
  <si>
    <t>F</t>
  </si>
  <si>
    <t>ρF</t>
  </si>
  <si>
    <r>
      <t xml:space="preserve">Quality Factor </t>
    </r>
    <r>
      <rPr>
        <b/>
        <sz val="10"/>
        <rFont val="Arial"/>
        <family val="2"/>
      </rPr>
      <t>Q</t>
    </r>
    <r>
      <rPr>
        <sz val="10"/>
        <rFont val="Arial"/>
        <family val="2"/>
      </rPr>
      <t>=</t>
    </r>
  </si>
  <si>
    <t>Amended</t>
  </si>
  <si>
    <r>
      <t xml:space="preserve">Bandwidth </t>
    </r>
    <r>
      <rPr>
        <b/>
        <sz val="8"/>
        <rFont val="Arial"/>
        <family val="2"/>
      </rPr>
      <t>Δ</t>
    </r>
    <r>
      <rPr>
        <b/>
        <sz val="10"/>
        <rFont val="Arial"/>
        <family val="2"/>
      </rPr>
      <t>F</t>
    </r>
    <r>
      <rPr>
        <sz val="10"/>
        <rFont val="Arial"/>
        <family val="2"/>
      </rPr>
      <t xml:space="preserve">= </t>
    </r>
  </si>
  <si>
    <t>kHz</t>
  </si>
  <si>
    <r>
      <t>Distributed Capacity</t>
    </r>
    <r>
      <rPr>
        <b/>
        <sz val="10"/>
        <rFont val="Arial"/>
        <family val="2"/>
      </rPr>
      <t xml:space="preserve"> C</t>
    </r>
    <r>
      <rPr>
        <b/>
        <sz val="8"/>
        <rFont val="Arial"/>
        <family val="2"/>
      </rPr>
      <t>D</t>
    </r>
    <r>
      <rPr>
        <sz val="10"/>
        <rFont val="Arial"/>
        <family val="2"/>
      </rPr>
      <t>=</t>
    </r>
  </si>
  <si>
    <r>
      <t xml:space="preserve">Capacitor Potential </t>
    </r>
    <r>
      <rPr>
        <b/>
        <sz val="10"/>
        <rFont val="Arial"/>
        <family val="2"/>
      </rPr>
      <t>V</t>
    </r>
    <r>
      <rPr>
        <b/>
        <sz val="8"/>
        <rFont val="Arial"/>
        <family val="2"/>
      </rPr>
      <t>C</t>
    </r>
    <r>
      <rPr>
        <sz val="10"/>
        <rFont val="Arial"/>
        <family val="2"/>
      </rPr>
      <t>=</t>
    </r>
  </si>
  <si>
    <r>
      <t xml:space="preserve">Minimum Plate Spacing </t>
    </r>
    <r>
      <rPr>
        <b/>
        <sz val="10"/>
        <rFont val="Arial"/>
        <family val="2"/>
      </rPr>
      <t>P</t>
    </r>
    <r>
      <rPr>
        <b/>
        <sz val="8"/>
        <rFont val="Arial"/>
        <family val="2"/>
      </rPr>
      <t>S</t>
    </r>
    <r>
      <rPr>
        <sz val="10"/>
        <rFont val="Arial"/>
        <family val="2"/>
      </rPr>
      <t>=</t>
    </r>
  </si>
  <si>
    <t>in</t>
  </si>
  <si>
    <t>mils</t>
  </si>
  <si>
    <r>
      <t xml:space="preserve">Wavelength </t>
    </r>
    <r>
      <rPr>
        <b/>
        <sz val="10"/>
        <rFont val="Arial"/>
        <family val="2"/>
      </rPr>
      <t>λ</t>
    </r>
    <r>
      <rPr>
        <sz val="10"/>
        <rFont val="Arial"/>
        <family val="2"/>
      </rPr>
      <t>=</t>
    </r>
  </si>
  <si>
    <r>
      <t xml:space="preserve">Circumference % </t>
    </r>
    <r>
      <rPr>
        <b/>
        <sz val="10"/>
        <rFont val="Arial"/>
        <family val="2"/>
      </rPr>
      <t>λ</t>
    </r>
    <r>
      <rPr>
        <sz val="10"/>
        <rFont val="Arial"/>
        <family val="2"/>
      </rPr>
      <t>=</t>
    </r>
  </si>
  <si>
    <t>Radiation</t>
  </si>
  <si>
    <t>Loss</t>
  </si>
  <si>
    <t>Total Loss</t>
  </si>
  <si>
    <t>Inductive</t>
  </si>
  <si>
    <t>Tuning</t>
  </si>
  <si>
    <t>Quality</t>
  </si>
  <si>
    <t>Capacitor</t>
  </si>
  <si>
    <t>Minimum</t>
  </si>
  <si>
    <t>Frequency</t>
  </si>
  <si>
    <t>Resistance</t>
  </si>
  <si>
    <t>Efficiency</t>
  </si>
  <si>
    <t>Reactance</t>
  </si>
  <si>
    <t>Factor</t>
  </si>
  <si>
    <t>Bandwidth</t>
  </si>
  <si>
    <t>Potential</t>
  </si>
  <si>
    <t>Spacing</t>
  </si>
  <si>
    <t>Wavelength</t>
  </si>
  <si>
    <t>Circumference</t>
  </si>
  <si>
    <r>
      <t>R</t>
    </r>
    <r>
      <rPr>
        <b/>
        <sz val="8"/>
        <rFont val="Arial"/>
        <family val="2"/>
      </rPr>
      <t>R</t>
    </r>
  </si>
  <si>
    <r>
      <t>R</t>
    </r>
    <r>
      <rPr>
        <b/>
        <sz val="8"/>
        <rFont val="Arial"/>
        <family val="2"/>
      </rPr>
      <t>L</t>
    </r>
  </si>
  <si>
    <r>
      <t>R</t>
    </r>
    <r>
      <rPr>
        <b/>
        <sz val="8"/>
        <rFont val="Arial"/>
        <family val="2"/>
      </rPr>
      <t>T</t>
    </r>
  </si>
  <si>
    <t>η</t>
  </si>
  <si>
    <r>
      <t>X</t>
    </r>
    <r>
      <rPr>
        <b/>
        <sz val="8"/>
        <rFont val="Arial"/>
        <family val="2"/>
      </rPr>
      <t>L</t>
    </r>
  </si>
  <si>
    <r>
      <t>C</t>
    </r>
    <r>
      <rPr>
        <b/>
        <sz val="8"/>
        <rFont val="Arial"/>
        <family val="2"/>
      </rPr>
      <t>T</t>
    </r>
  </si>
  <si>
    <t>Q</t>
  </si>
  <si>
    <r>
      <t>Δ</t>
    </r>
    <r>
      <rPr>
        <b/>
        <sz val="10"/>
        <rFont val="Arial"/>
        <family val="2"/>
      </rPr>
      <t>F</t>
    </r>
  </si>
  <si>
    <r>
      <t>V</t>
    </r>
    <r>
      <rPr>
        <b/>
        <sz val="8"/>
        <rFont val="Arial"/>
        <family val="2"/>
      </rPr>
      <t>C</t>
    </r>
  </si>
  <si>
    <r>
      <t>P</t>
    </r>
    <r>
      <rPr>
        <b/>
        <sz val="8"/>
        <rFont val="Arial"/>
        <family val="2"/>
      </rPr>
      <t>S</t>
    </r>
  </si>
  <si>
    <t>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</si>
</sst>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0.00000000000"/>
  </numFmts>
  <fonts count="20"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color indexed="12"/>
      <name val="Arial"/>
      <family val="2"/>
    </font>
    <font>
      <i/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2"/>
      <color indexed="17"/>
      <name val="Arial"/>
      <family val="2"/>
    </font>
    <font>
      <i/>
      <sz val="10"/>
      <color indexed="17"/>
      <name val="Comic Sans MS"/>
      <family val="4"/>
    </font>
    <font>
      <sz val="10"/>
      <name val="Comic Sans MS"/>
      <family val="4"/>
    </font>
    <font>
      <sz val="7.5"/>
      <name val="Comic Sans MS"/>
      <family val="4"/>
    </font>
    <font>
      <sz val="8"/>
      <name val="Comic Sans MS"/>
      <family val="4"/>
    </font>
    <font>
      <i/>
      <sz val="10"/>
      <name val="Comic Sans MS"/>
      <family val="4"/>
    </font>
    <font>
      <sz val="10"/>
      <color indexed="17"/>
      <name val="Arial"/>
      <family val="2"/>
    </font>
    <font>
      <sz val="10"/>
      <color indexed="17"/>
      <name val="Comic Sans MS"/>
      <family val="4"/>
    </font>
    <font>
      <b/>
      <u/>
      <sz val="10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2"/>
        <bgColor indexed="27"/>
      </patternFill>
    </fill>
    <fill>
      <patternFill patternType="solid">
        <fgColor indexed="45"/>
        <bgColor indexed="29"/>
      </patternFill>
    </fill>
    <fill>
      <patternFill patternType="solid">
        <fgColor indexed="44"/>
        <bgColor indexed="31"/>
      </patternFill>
    </fill>
  </fills>
  <borders count="27">
    <border>
      <left/>
      <right/>
      <top/>
      <bottom/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4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0" fillId="2" borderId="0" xfId="0" applyFill="1" applyAlignment="1">
      <alignment horizontal="center"/>
    </xf>
    <xf numFmtId="0" fontId="4" fillId="2" borderId="0" xfId="1" applyNumberFormat="1" applyFill="1" applyBorder="1" applyAlignment="1" applyProtection="1">
      <alignment horizontal="center"/>
    </xf>
    <xf numFmtId="0" fontId="5" fillId="2" borderId="0" xfId="0" applyFont="1" applyFill="1" applyAlignment="1" applyProtection="1">
      <alignment horizontal="center"/>
      <protection locked="0"/>
    </xf>
    <xf numFmtId="0" fontId="5" fillId="2" borderId="0" xfId="0" applyFont="1" applyFill="1" applyProtection="1">
      <protection locked="0"/>
    </xf>
    <xf numFmtId="0" fontId="0" fillId="2" borderId="1" xfId="0" applyFill="1" applyBorder="1"/>
    <xf numFmtId="0" fontId="1" fillId="2" borderId="2" xfId="0" applyFont="1" applyFill="1" applyBorder="1" applyAlignment="1">
      <alignment horizontal="right"/>
    </xf>
    <xf numFmtId="164" fontId="1" fillId="3" borderId="3" xfId="0" applyNumberFormat="1" applyFont="1" applyFill="1" applyBorder="1" applyAlignment="1" applyProtection="1">
      <alignment horizontal="right"/>
      <protection locked="0"/>
    </xf>
    <xf numFmtId="0" fontId="0" fillId="2" borderId="3" xfId="0" applyFill="1" applyBorder="1"/>
    <xf numFmtId="0" fontId="0" fillId="2" borderId="4" xfId="0" applyFill="1" applyBorder="1"/>
    <xf numFmtId="0" fontId="1" fillId="2" borderId="5" xfId="0" applyFont="1" applyFill="1" applyBorder="1" applyAlignment="1">
      <alignment horizontal="right"/>
    </xf>
    <xf numFmtId="164" fontId="1" fillId="3" borderId="6" xfId="0" applyNumberFormat="1" applyFont="1" applyFill="1" applyBorder="1" applyAlignment="1" applyProtection="1">
      <alignment horizontal="right"/>
      <protection locked="0"/>
    </xf>
    <xf numFmtId="0" fontId="0" fillId="2" borderId="6" xfId="0" applyFill="1" applyBorder="1"/>
    <xf numFmtId="164" fontId="1" fillId="2" borderId="6" xfId="0" applyNumberFormat="1" applyFont="1" applyFill="1" applyBorder="1"/>
    <xf numFmtId="0" fontId="0" fillId="2" borderId="7" xfId="0" applyFill="1" applyBorder="1" applyAlignment="1">
      <alignment horizontal="left"/>
    </xf>
    <xf numFmtId="0" fontId="1" fillId="2" borderId="8" xfId="0" applyFont="1" applyFill="1" applyBorder="1" applyAlignment="1">
      <alignment horizontal="right"/>
    </xf>
    <xf numFmtId="164" fontId="1" fillId="3" borderId="9" xfId="0" applyNumberFormat="1" applyFont="1" applyFill="1" applyBorder="1" applyAlignment="1" applyProtection="1">
      <alignment horizontal="right"/>
      <protection locked="0"/>
    </xf>
    <xf numFmtId="0" fontId="0" fillId="2" borderId="7" xfId="0" applyFill="1" applyBorder="1"/>
    <xf numFmtId="0" fontId="1" fillId="2" borderId="10" xfId="0" applyFont="1" applyFill="1" applyBorder="1" applyAlignment="1">
      <alignment horizontal="right"/>
    </xf>
    <xf numFmtId="164" fontId="1" fillId="3" borderId="1" xfId="0" applyNumberFormat="1" applyFont="1" applyFill="1" applyBorder="1" applyAlignment="1" applyProtection="1">
      <alignment horizontal="right"/>
      <protection locked="0"/>
    </xf>
    <xf numFmtId="0" fontId="0" fillId="2" borderId="11" xfId="0" applyFill="1" applyBorder="1"/>
    <xf numFmtId="0" fontId="0" fillId="2" borderId="12" xfId="0" applyFill="1" applyBorder="1"/>
    <xf numFmtId="164" fontId="1" fillId="4" borderId="3" xfId="0" applyNumberFormat="1" applyFont="1" applyFill="1" applyBorder="1" applyAlignment="1">
      <alignment horizontal="right"/>
    </xf>
    <xf numFmtId="0" fontId="0" fillId="4" borderId="3" xfId="0" applyFill="1" applyBorder="1"/>
    <xf numFmtId="0" fontId="1" fillId="4" borderId="3" xfId="0" applyFont="1" applyFill="1" applyBorder="1"/>
    <xf numFmtId="0" fontId="0" fillId="4" borderId="4" xfId="0" applyFill="1" applyBorder="1"/>
    <xf numFmtId="164" fontId="1" fillId="4" borderId="6" xfId="0" applyNumberFormat="1" applyFont="1" applyFill="1" applyBorder="1" applyAlignment="1">
      <alignment horizontal="right"/>
    </xf>
    <xf numFmtId="0" fontId="0" fillId="4" borderId="6" xfId="0" applyFill="1" applyBorder="1"/>
    <xf numFmtId="164" fontId="1" fillId="4" borderId="6" xfId="0" applyNumberFormat="1" applyFont="1" applyFill="1" applyBorder="1"/>
    <xf numFmtId="0" fontId="0" fillId="4" borderId="7" xfId="0" applyFill="1" applyBorder="1"/>
    <xf numFmtId="0" fontId="0" fillId="4" borderId="9" xfId="0" applyFill="1" applyBorder="1"/>
    <xf numFmtId="0" fontId="0" fillId="4" borderId="13" xfId="0" applyFill="1" applyBorder="1"/>
    <xf numFmtId="164" fontId="6" fillId="4" borderId="6" xfId="0" applyNumberFormat="1" applyFont="1" applyFill="1" applyBorder="1"/>
    <xf numFmtId="0" fontId="7" fillId="4" borderId="7" xfId="0" applyFont="1" applyFill="1" applyBorder="1"/>
    <xf numFmtId="0" fontId="7" fillId="4" borderId="6" xfId="0" applyFont="1" applyFill="1" applyBorder="1"/>
    <xf numFmtId="164" fontId="1" fillId="4" borderId="9" xfId="0" applyNumberFormat="1" applyFont="1" applyFill="1" applyBorder="1"/>
    <xf numFmtId="0" fontId="1" fillId="4" borderId="6" xfId="0" applyFont="1" applyFill="1" applyBorder="1"/>
    <xf numFmtId="0" fontId="0" fillId="2" borderId="0" xfId="0" applyFill="1" applyProtection="1">
      <protection locked="0"/>
    </xf>
    <xf numFmtId="164" fontId="1" fillId="4" borderId="1" xfId="0" applyNumberFormat="1" applyFont="1" applyFill="1" applyBorder="1" applyAlignment="1">
      <alignment horizontal="right"/>
    </xf>
    <xf numFmtId="0" fontId="0" fillId="4" borderId="1" xfId="0" applyFill="1" applyBorder="1"/>
    <xf numFmtId="164" fontId="1" fillId="4" borderId="1" xfId="0" applyNumberFormat="1" applyFont="1" applyFill="1" applyBorder="1"/>
    <xf numFmtId="0" fontId="0" fillId="4" borderId="14" xfId="0" applyFill="1" applyBorder="1" applyAlignment="1">
      <alignment horizontal="left"/>
    </xf>
    <xf numFmtId="0" fontId="1" fillId="2" borderId="0" xfId="0" applyFont="1" applyFill="1" applyAlignment="1">
      <alignment horizontal="right"/>
    </xf>
    <xf numFmtId="0" fontId="0" fillId="2" borderId="0" xfId="0" applyFill="1" applyAlignment="1" applyProtection="1">
      <alignment horizontal="right"/>
      <protection locked="0"/>
    </xf>
    <xf numFmtId="0" fontId="8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10" fillId="2" borderId="0" xfId="0" applyFont="1" applyFill="1"/>
    <xf numFmtId="0" fontId="13" fillId="2" borderId="0" xfId="0" applyFont="1" applyFill="1"/>
    <xf numFmtId="0" fontId="14" fillId="2" borderId="0" xfId="0" applyFont="1" applyFill="1" applyAlignment="1">
      <alignment horizontal="right"/>
    </xf>
    <xf numFmtId="0" fontId="15" fillId="2" borderId="0" xfId="0" applyFont="1" applyFill="1" applyAlignment="1">
      <alignment horizontal="left"/>
    </xf>
    <xf numFmtId="165" fontId="0" fillId="2" borderId="0" xfId="0" applyNumberFormat="1" applyFill="1"/>
    <xf numFmtId="0" fontId="16" fillId="2" borderId="0" xfId="0" applyFont="1" applyFill="1"/>
    <xf numFmtId="0" fontId="1" fillId="2" borderId="15" xfId="0" applyFont="1" applyFill="1" applyBorder="1" applyAlignment="1">
      <alignment horizontal="right"/>
    </xf>
    <xf numFmtId="166" fontId="7" fillId="3" borderId="16" xfId="0" applyNumberFormat="1" applyFont="1" applyFill="1" applyBorder="1"/>
    <xf numFmtId="165" fontId="7" fillId="3" borderId="17" xfId="0" applyNumberFormat="1" applyFont="1" applyFill="1" applyBorder="1"/>
    <xf numFmtId="165" fontId="7" fillId="3" borderId="6" xfId="0" applyNumberFormat="1" applyFont="1" applyFill="1" applyBorder="1"/>
    <xf numFmtId="165" fontId="7" fillId="3" borderId="18" xfId="0" applyNumberFormat="1" applyFont="1" applyFill="1" applyBorder="1"/>
    <xf numFmtId="0" fontId="0" fillId="2" borderId="19" xfId="0" applyFill="1" applyBorder="1" applyAlignment="1">
      <alignment horizontal="right"/>
    </xf>
    <xf numFmtId="165" fontId="7" fillId="3" borderId="19" xfId="0" applyNumberFormat="1" applyFont="1" applyFill="1" applyBorder="1"/>
    <xf numFmtId="165" fontId="7" fillId="3" borderId="9" xfId="0" applyNumberFormat="1" applyFont="1" applyFill="1" applyBorder="1"/>
    <xf numFmtId="165" fontId="7" fillId="3" borderId="20" xfId="0" applyNumberFormat="1" applyFont="1" applyFill="1" applyBorder="1"/>
    <xf numFmtId="165" fontId="7" fillId="3" borderId="16" xfId="0" applyNumberFormat="1" applyFont="1" applyFill="1" applyBorder="1"/>
    <xf numFmtId="1" fontId="7" fillId="3" borderId="6" xfId="0" applyNumberFormat="1" applyFont="1" applyFill="1" applyBorder="1"/>
    <xf numFmtId="165" fontId="18" fillId="0" borderId="0" xfId="0" applyNumberFormat="1" applyFont="1"/>
    <xf numFmtId="165" fontId="6" fillId="5" borderId="19" xfId="0" applyNumberFormat="1" applyFont="1" applyFill="1" applyBorder="1"/>
    <xf numFmtId="165" fontId="6" fillId="5" borderId="6" xfId="0" applyNumberFormat="1" applyFont="1" applyFill="1" applyBorder="1"/>
    <xf numFmtId="165" fontId="7" fillId="5" borderId="6" xfId="0" applyNumberFormat="1" applyFont="1" applyFill="1" applyBorder="1"/>
    <xf numFmtId="165" fontId="7" fillId="5" borderId="17" xfId="0" applyNumberFormat="1" applyFont="1" applyFill="1" applyBorder="1"/>
    <xf numFmtId="165" fontId="7" fillId="5" borderId="21" xfId="0" applyNumberFormat="1" applyFont="1" applyFill="1" applyBorder="1"/>
    <xf numFmtId="165" fontId="7" fillId="5" borderId="18" xfId="0" applyNumberFormat="1" applyFont="1" applyFill="1" applyBorder="1"/>
    <xf numFmtId="165" fontId="7" fillId="5" borderId="19" xfId="0" applyNumberFormat="1" applyFont="1" applyFill="1" applyBorder="1"/>
    <xf numFmtId="165" fontId="6" fillId="5" borderId="17" xfId="0" applyNumberFormat="1" applyFont="1" applyFill="1" applyBorder="1"/>
    <xf numFmtId="165" fontId="7" fillId="5" borderId="22" xfId="0" applyNumberFormat="1" applyFont="1" applyFill="1" applyBorder="1"/>
    <xf numFmtId="165" fontId="7" fillId="5" borderId="9" xfId="0" applyNumberFormat="1" applyFont="1" applyFill="1" applyBorder="1"/>
    <xf numFmtId="165" fontId="6" fillId="5" borderId="9" xfId="0" applyNumberFormat="1" applyFont="1" applyFill="1" applyBorder="1"/>
    <xf numFmtId="165" fontId="7" fillId="5" borderId="23" xfId="0" applyNumberFormat="1" applyFont="1" applyFill="1" applyBorder="1"/>
    <xf numFmtId="165" fontId="7" fillId="5" borderId="0" xfId="0" applyNumberFormat="1" applyFont="1" applyFill="1"/>
    <xf numFmtId="165" fontId="6" fillId="5" borderId="0" xfId="0" applyNumberFormat="1" applyFont="1" applyFill="1"/>
    <xf numFmtId="165" fontId="6" fillId="5" borderId="21" xfId="0" applyNumberFormat="1" applyFont="1" applyFill="1" applyBorder="1"/>
    <xf numFmtId="165" fontId="6" fillId="5" borderId="23" xfId="0" applyNumberFormat="1" applyFont="1" applyFill="1" applyBorder="1"/>
    <xf numFmtId="165" fontId="6" fillId="5" borderId="22" xfId="0" applyNumberFormat="1" applyFont="1" applyFill="1" applyBorder="1"/>
    <xf numFmtId="165" fontId="6" fillId="5" borderId="16" xfId="0" applyNumberFormat="1" applyFont="1" applyFill="1" applyBorder="1"/>
    <xf numFmtId="165" fontId="7" fillId="5" borderId="16" xfId="0" applyNumberFormat="1" applyFont="1" applyFill="1" applyBorder="1"/>
    <xf numFmtId="165" fontId="6" fillId="5" borderId="18" xfId="0" applyNumberFormat="1" applyFont="1" applyFill="1" applyBorder="1"/>
    <xf numFmtId="0" fontId="0" fillId="2" borderId="24" xfId="0" applyFill="1" applyBorder="1"/>
    <xf numFmtId="165" fontId="7" fillId="2" borderId="21" xfId="0" applyNumberFormat="1" applyFont="1" applyFill="1" applyBorder="1" applyAlignment="1">
      <alignment horizontal="center"/>
    </xf>
    <xf numFmtId="165" fontId="7" fillId="2" borderId="24" xfId="0" applyNumberFormat="1" applyFont="1" applyFill="1" applyBorder="1" applyAlignment="1">
      <alignment horizontal="center"/>
    </xf>
    <xf numFmtId="165" fontId="7" fillId="3" borderId="24" xfId="0" applyNumberFormat="1" applyFont="1" applyFill="1" applyBorder="1" applyAlignment="1">
      <alignment horizontal="center"/>
    </xf>
    <xf numFmtId="165" fontId="7" fillId="2" borderId="16" xfId="0" applyNumberFormat="1" applyFont="1" applyFill="1" applyBorder="1" applyAlignment="1">
      <alignment horizontal="center"/>
    </xf>
    <xf numFmtId="0" fontId="7" fillId="2" borderId="25" xfId="0" applyFont="1" applyFill="1" applyBorder="1" applyAlignment="1">
      <alignment horizontal="center"/>
    </xf>
    <xf numFmtId="165" fontId="7" fillId="2" borderId="25" xfId="0" applyNumberFormat="1" applyFont="1" applyFill="1" applyBorder="1" applyAlignment="1">
      <alignment horizontal="center"/>
    </xf>
    <xf numFmtId="165" fontId="7" fillId="3" borderId="25" xfId="0" applyNumberFormat="1" applyFont="1" applyFill="1" applyBorder="1" applyAlignment="1">
      <alignment horizontal="center"/>
    </xf>
    <xf numFmtId="165" fontId="7" fillId="2" borderId="23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65" fontId="1" fillId="2" borderId="25" xfId="0" applyNumberFormat="1" applyFont="1" applyFill="1" applyBorder="1" applyAlignment="1">
      <alignment horizontal="center"/>
    </xf>
    <xf numFmtId="165" fontId="1" fillId="2" borderId="23" xfId="0" applyNumberFormat="1" applyFont="1" applyFill="1" applyBorder="1" applyAlignment="1">
      <alignment horizontal="center"/>
    </xf>
    <xf numFmtId="165" fontId="1" fillId="3" borderId="25" xfId="0" applyNumberFormat="1" applyFont="1" applyFill="1" applyBorder="1" applyAlignment="1">
      <alignment horizontal="center"/>
    </xf>
    <xf numFmtId="165" fontId="17" fillId="3" borderId="25" xfId="0" applyNumberFormat="1" applyFont="1" applyFill="1" applyBorder="1" applyAlignment="1">
      <alignment horizontal="center"/>
    </xf>
    <xf numFmtId="165" fontId="1" fillId="2" borderId="0" xfId="0" applyNumberFormat="1" applyFont="1" applyFill="1" applyAlignment="1">
      <alignment horizontal="center"/>
    </xf>
    <xf numFmtId="165" fontId="6" fillId="2" borderId="25" xfId="0" applyNumberFormat="1" applyFont="1" applyFill="1" applyBorder="1" applyAlignment="1">
      <alignment horizontal="center"/>
    </xf>
    <xf numFmtId="0" fontId="7" fillId="2" borderId="26" xfId="0" applyFont="1" applyFill="1" applyBorder="1" applyAlignment="1">
      <alignment horizontal="center"/>
    </xf>
    <xf numFmtId="165" fontId="7" fillId="2" borderId="26" xfId="0" applyNumberFormat="1" applyFont="1" applyFill="1" applyBorder="1" applyAlignment="1">
      <alignment horizontal="center"/>
    </xf>
    <xf numFmtId="165" fontId="7" fillId="3" borderId="26" xfId="0" applyNumberFormat="1" applyFont="1" applyFill="1" applyBorder="1" applyAlignment="1">
      <alignment horizontal="center"/>
    </xf>
    <xf numFmtId="165" fontId="7" fillId="2" borderId="22" xfId="0" applyNumberFormat="1" applyFont="1" applyFill="1" applyBorder="1" applyAlignment="1">
      <alignment horizontal="center"/>
    </xf>
    <xf numFmtId="165" fontId="0" fillId="2" borderId="26" xfId="0" applyNumberFormat="1" applyFill="1" applyBorder="1"/>
    <xf numFmtId="0" fontId="0" fillId="2" borderId="15" xfId="0" applyFill="1" applyBorder="1" applyAlignment="1">
      <alignment horizontal="center"/>
    </xf>
    <xf numFmtId="165" fontId="19" fillId="2" borderId="15" xfId="0" applyNumberFormat="1" applyFont="1" applyFill="1" applyBorder="1" applyAlignment="1">
      <alignment horizontal="right"/>
    </xf>
    <xf numFmtId="165" fontId="19" fillId="3" borderId="15" xfId="0" applyNumberFormat="1" applyFont="1" applyFill="1" applyBorder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Loop Performance</a:t>
            </a:r>
          </a:p>
        </c:rich>
      </c:tx>
      <c:layout>
        <c:manualLayout>
          <c:xMode val="edge"/>
          <c:yMode val="edge"/>
          <c:x val="0.37129016675522925"/>
          <c:y val="3.04269115071196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84444106656046"/>
          <c:y val="0.15010609676845713"/>
          <c:w val="0.63749821084388414"/>
          <c:h val="0.71807511156802473"/>
        </c:manualLayout>
      </c:layout>
      <c:lineChart>
        <c:grouping val="standard"/>
        <c:varyColors val="0"/>
        <c:ser>
          <c:idx val="0"/>
          <c:order val="0"/>
          <c:tx>
            <c:strRef>
              <c:f>Calc1!$E$31</c:f>
              <c:strCache>
                <c:ptCount val="1"/>
                <c:pt idx="0">
                  <c:v>dB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Calc1!$A$32:$A$61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Calc1!$E$32:$E$61</c:f>
              <c:numCache>
                <c:formatCode>0.0000000</c:formatCode>
                <c:ptCount val="30"/>
                <c:pt idx="0">
                  <c:v>-35.59929578075814</c:v>
                </c:pt>
                <c:pt idx="1">
                  <c:v>-25.075567143085429</c:v>
                </c:pt>
                <c:pt idx="2">
                  <c:v>-18.954460578484628</c:v>
                </c:pt>
                <c:pt idx="3">
                  <c:v>-14.6765340258042</c:v>
                </c:pt>
                <c:pt idx="4">
                  <c:v>-11.456373627999383</c:v>
                </c:pt>
                <c:pt idx="5">
                  <c:v>-8.9538452435279865</c:v>
                </c:pt>
                <c:pt idx="6">
                  <c:v>-6.9889544288598184</c:v>
                </c:pt>
                <c:pt idx="7">
                  <c:v>-5.448218517707196</c:v>
                </c:pt>
                <c:pt idx="8">
                  <c:v>-4.2478994087277897</c:v>
                </c:pt>
                <c:pt idx="9">
                  <c:v>-3.3196375564217453</c:v>
                </c:pt>
                <c:pt idx="10">
                  <c:v>-2.6057711761430333</c:v>
                </c:pt>
                <c:pt idx="11">
                  <c:v>-2.0582212928963055</c:v>
                </c:pt>
                <c:pt idx="12">
                  <c:v>-1.6380236041378367</c:v>
                </c:pt>
                <c:pt idx="13">
                  <c:v>-1.3145104782033543</c:v>
                </c:pt>
                <c:pt idx="14">
                  <c:v>-1.0641034400848148</c:v>
                </c:pt>
                <c:pt idx="15">
                  <c:v>-0.86896419437151962</c:v>
                </c:pt>
                <c:pt idx="16">
                  <c:v>-0.71572381218786563</c:v>
                </c:pt>
                <c:pt idx="17">
                  <c:v>-0.59440352085177528</c:v>
                </c:pt>
                <c:pt idx="18">
                  <c:v>-0.49755532910401645</c:v>
                </c:pt>
                <c:pt idx="19">
                  <c:v>-0.41960448496396874</c:v>
                </c:pt>
                <c:pt idx="20">
                  <c:v>-0.35635836612283645</c:v>
                </c:pt>
                <c:pt idx="21">
                  <c:v>-0.30464467041503007</c:v>
                </c:pt>
                <c:pt idx="22">
                  <c:v>-0.26204664356849416</c:v>
                </c:pt>
                <c:pt idx="23">
                  <c:v>-0.22670969778934097</c:v>
                </c:pt>
                <c:pt idx="24">
                  <c:v>-0.19719999518304551</c:v>
                </c:pt>
                <c:pt idx="25">
                  <c:v>-0.17240067893753738</c:v>
                </c:pt>
                <c:pt idx="26">
                  <c:v>-0.15143536012768766</c:v>
                </c:pt>
                <c:pt idx="27">
                  <c:v>-0.13361137493879299</c:v>
                </c:pt>
                <c:pt idx="28">
                  <c:v>-0.11837743625630756</c:v>
                </c:pt>
                <c:pt idx="29">
                  <c:v>-0.10529181697312956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62-4EBC-BB3F-9CCFCCCE3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761407"/>
        <c:axId val="1"/>
      </c:lineChart>
      <c:lineChart>
        <c:grouping val="standard"/>
        <c:varyColors val="0"/>
        <c:ser>
          <c:idx val="0"/>
          <c:order val="1"/>
          <c:tx>
            <c:strRef>
              <c:f>Calc1!$I$31</c:f>
              <c:strCache>
                <c:ptCount val="1"/>
                <c:pt idx="0">
                  <c:v>kHz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Calc1!$I$32:$I$61</c:f>
              <c:numCache>
                <c:formatCode>0.0000000</c:formatCode>
                <c:ptCount val="30"/>
                <c:pt idx="0">
                  <c:v>0.97084139657089985</c:v>
                </c:pt>
                <c:pt idx="1">
                  <c:v>1.3768778239092383</c:v>
                </c:pt>
                <c:pt idx="2">
                  <c:v>1.7027456716037119</c:v>
                </c:pt>
                <c:pt idx="3">
                  <c:v>2.0096113557501574</c:v>
                </c:pt>
                <c:pt idx="4">
                  <c:v>2.3374164082868951</c:v>
                </c:pt>
                <c:pt idx="5">
                  <c:v>2.724007093254281</c:v>
                </c:pt>
                <c:pt idx="6">
                  <c:v>3.2100094519041251</c:v>
                </c:pt>
                <c:pt idx="7">
                  <c:v>3.8406126495521891</c:v>
                </c:pt>
                <c:pt idx="8">
                  <c:v>4.6663647943804385</c:v>
                </c:pt>
                <c:pt idx="9">
                  <c:v>5.7435772139095462</c:v>
                </c:pt>
                <c:pt idx="10">
                  <c:v>7.1345496811428859</c:v>
                </c:pt>
                <c:pt idx="11">
                  <c:v>8.9077049144843432</c:v>
                </c:pt>
                <c:pt idx="12">
                  <c:v>11.137673383481548</c:v>
                </c:pt>
                <c:pt idx="13">
                  <c:v>13.905349173237825</c:v>
                </c:pt>
                <c:pt idx="14">
                  <c:v>17.297928134965488</c:v>
                </c:pt>
                <c:pt idx="15">
                  <c:v>21.408934739239712</c:v>
                </c:pt>
                <c:pt idx="16">
                  <c:v>26.338241470138144</c:v>
                </c:pt>
                <c:pt idx="17">
                  <c:v>32.192083146411512</c:v>
                </c:pt>
                <c:pt idx="18">
                  <c:v>39.08306770299194</c:v>
                </c:pt>
                <c:pt idx="19">
                  <c:v>47.130184446796939</c:v>
                </c:pt>
                <c:pt idx="20">
                  <c:v>56.45881047441695</c:v>
                </c:pt>
                <c:pt idx="21">
                  <c:v>67.200715728429245</c:v>
                </c:pt>
                <c:pt idx="22">
                  <c:v>79.494067029494133</c:v>
                </c:pt>
                <c:pt idx="23">
                  <c:v>93.483431326939268</c:v>
                </c:pt>
                <c:pt idx="24">
                  <c:v>109.31977834536009</c:v>
                </c:pt>
                <c:pt idx="25">
                  <c:v>127.16048275898758</c:v>
                </c:pt>
                <c:pt idx="26">
                  <c:v>147.16932599289788</c:v>
                </c:pt>
                <c:pt idx="27">
                  <c:v>169.51649772647343</c:v>
                </c:pt>
                <c:pt idx="28">
                  <c:v>194.37859715714893</c:v>
                </c:pt>
                <c:pt idx="29">
                  <c:v>221.93863406956498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962-4EBC-BB3F-9CCFCCCE3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2076761407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(1-30 MHz)</a:t>
                </a:r>
              </a:p>
            </c:rich>
          </c:tx>
          <c:layout>
            <c:manualLayout>
              <c:xMode val="edge"/>
              <c:yMode val="edge"/>
              <c:x val="0.31874910542194207"/>
              <c:y val="0.922949649049297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-40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  <c:min val="-2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Efficiency (dB)</a:t>
                </a:r>
              </a:p>
            </c:rich>
          </c:tx>
          <c:layout>
            <c:manualLayout>
              <c:xMode val="edge"/>
              <c:yMode val="edge"/>
              <c:x val="2.8021899377753148E-2"/>
              <c:y val="0.4138059964968278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6761407"/>
        <c:crossesAt val="1"/>
        <c:crossBetween val="midCat"/>
        <c:majorUnit val="1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At val="0"/>
        <c:auto val="0"/>
        <c:lblAlgn val="ctr"/>
        <c:lblOffset val="100"/>
        <c:noMultiLvlLbl val="0"/>
      </c:catAx>
      <c:valAx>
        <c:axId val="4"/>
        <c:scaling>
          <c:orientation val="minMax"/>
          <c:max val="400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Bandwidth (kHz)</a:t>
                </a:r>
              </a:p>
            </c:rich>
          </c:tx>
          <c:layout>
            <c:manualLayout>
              <c:xMode val="edge"/>
              <c:yMode val="edge"/>
              <c:x val="0.81613781937706043"/>
              <c:y val="0.4016352318939799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"/>
        <c:crosses val="max"/>
        <c:crossBetween val="midCat"/>
        <c:majorUnit val="20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743572426589544"/>
          <c:y val="0.4665459764425019"/>
          <c:w val="0.10858486008879345"/>
          <c:h val="8.722381298707644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1180555555555551" footer="0.51180555555555551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1</xdr:row>
      <xdr:rowOff>152400</xdr:rowOff>
    </xdr:from>
    <xdr:to>
      <xdr:col>16</xdr:col>
      <xdr:colOff>590550</xdr:colOff>
      <xdr:row>30</xdr:row>
      <xdr:rowOff>152400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83165D3E-0069-4234-A582-1E9C31F9F6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aa5tb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9"/>
  <sheetViews>
    <sheetView tabSelected="1" workbookViewId="0">
      <selection activeCell="C25" sqref="C25"/>
    </sheetView>
  </sheetViews>
  <sheetFormatPr defaultRowHeight="12.75"/>
  <cols>
    <col min="1" max="1" width="9.140625" style="1"/>
    <col min="2" max="2" width="24.5703125" style="2" customWidth="1"/>
    <col min="3" max="3" width="12.140625" style="3" customWidth="1"/>
    <col min="4" max="4" width="13.85546875" style="1" customWidth="1"/>
    <col min="5" max="5" width="8.7109375" style="1" customWidth="1"/>
    <col min="6" max="6" width="4.28515625" style="1" customWidth="1"/>
    <col min="7" max="16384" width="9.140625" style="1"/>
  </cols>
  <sheetData>
    <row r="1" spans="2:6" ht="18">
      <c r="B1" s="4"/>
      <c r="C1" s="5" t="s">
        <v>0</v>
      </c>
      <c r="D1" s="6"/>
    </row>
    <row r="2" spans="2:6">
      <c r="C2" s="7" t="s">
        <v>1</v>
      </c>
    </row>
    <row r="3" spans="2:6">
      <c r="C3" s="7" t="s">
        <v>2</v>
      </c>
    </row>
    <row r="4" spans="2:6">
      <c r="C4" s="8" t="s">
        <v>3</v>
      </c>
    </row>
    <row r="5" spans="2:6">
      <c r="C5" s="9" t="s">
        <v>4</v>
      </c>
    </row>
    <row r="6" spans="2:6">
      <c r="C6" s="10"/>
    </row>
    <row r="7" spans="2:6">
      <c r="B7" s="1" t="s">
        <v>5</v>
      </c>
    </row>
    <row r="8" spans="2:6">
      <c r="B8" s="1"/>
      <c r="D8" s="11"/>
      <c r="E8" s="11"/>
      <c r="F8" s="11"/>
    </row>
    <row r="9" spans="2:6">
      <c r="B9" s="12" t="s">
        <v>6</v>
      </c>
      <c r="C9" s="13">
        <v>7.03</v>
      </c>
      <c r="D9" s="14" t="s">
        <v>7</v>
      </c>
      <c r="E9" s="14"/>
      <c r="F9" s="15"/>
    </row>
    <row r="10" spans="2:6">
      <c r="B10" s="16" t="s">
        <v>8</v>
      </c>
      <c r="C10" s="17">
        <v>4.0999999999999996</v>
      </c>
      <c r="D10" s="18" t="s">
        <v>9</v>
      </c>
      <c r="E10" s="19">
        <f>0.3048*C10</f>
        <v>1.2496799999999999</v>
      </c>
      <c r="F10" s="20" t="s">
        <v>10</v>
      </c>
    </row>
    <row r="11" spans="2:6">
      <c r="B11" s="16" t="s">
        <v>11</v>
      </c>
      <c r="C11" s="17">
        <v>0.6</v>
      </c>
      <c r="D11" s="18" t="s">
        <v>12</v>
      </c>
      <c r="E11" s="19">
        <f>25.4*C11</f>
        <v>15.239999999999998</v>
      </c>
      <c r="F11" s="20" t="s">
        <v>13</v>
      </c>
    </row>
    <row r="12" spans="2:6">
      <c r="B12" s="21" t="s">
        <v>14</v>
      </c>
      <c r="C12" s="22">
        <v>0</v>
      </c>
      <c r="D12" s="1" t="s">
        <v>15</v>
      </c>
      <c r="E12" s="18"/>
      <c r="F12" s="23"/>
    </row>
    <row r="13" spans="2:6">
      <c r="B13" s="24" t="s">
        <v>16</v>
      </c>
      <c r="C13" s="25">
        <v>10</v>
      </c>
      <c r="D13" s="26" t="s">
        <v>17</v>
      </c>
      <c r="E13" s="26"/>
      <c r="F13" s="27"/>
    </row>
    <row r="15" spans="2:6">
      <c r="B15" s="1" t="s">
        <v>18</v>
      </c>
    </row>
    <row r="17" spans="1:6">
      <c r="B17" s="12" t="s">
        <v>19</v>
      </c>
      <c r="C17" s="28">
        <f>Calc1!D21</f>
        <v>3.2265848080985693</v>
      </c>
      <c r="D17" s="29" t="s">
        <v>20</v>
      </c>
      <c r="E17" s="30"/>
      <c r="F17" s="31"/>
    </row>
    <row r="18" spans="1:6">
      <c r="B18" s="16" t="s">
        <v>21</v>
      </c>
      <c r="C18" s="32">
        <f>Calc1!D16</f>
        <v>20.244027736383075</v>
      </c>
      <c r="D18" s="33" t="s">
        <v>22</v>
      </c>
      <c r="E18" s="34">
        <f>Calc1!F16</f>
        <v>-6.9370307633510011</v>
      </c>
      <c r="F18" s="35" t="s">
        <v>23</v>
      </c>
    </row>
    <row r="19" spans="1:6">
      <c r="B19" s="16" t="s">
        <v>24</v>
      </c>
      <c r="C19" s="32">
        <f>Calc1!B12</f>
        <v>13.202543126711104</v>
      </c>
      <c r="D19" s="33" t="s">
        <v>25</v>
      </c>
      <c r="E19" s="34">
        <f>Calc1!D12</f>
        <v>1.2265563922025668</v>
      </c>
      <c r="F19" s="35" t="s">
        <v>26</v>
      </c>
    </row>
    <row r="20" spans="1:6">
      <c r="B20" s="16" t="s">
        <v>27</v>
      </c>
      <c r="C20" s="34">
        <f>Calc1!D13</f>
        <v>14.389748050800803</v>
      </c>
      <c r="D20" s="33" t="s">
        <v>28</v>
      </c>
      <c r="E20" s="36"/>
      <c r="F20" s="37"/>
    </row>
    <row r="21" spans="1:6">
      <c r="B21" s="16" t="s">
        <v>29</v>
      </c>
      <c r="C21" s="34">
        <f>Calc1!D15</f>
        <v>56.691699960353553</v>
      </c>
      <c r="D21" s="33" t="s">
        <v>28</v>
      </c>
      <c r="E21" s="33"/>
      <c r="F21" s="35"/>
    </row>
    <row r="22" spans="1:6">
      <c r="B22" s="16" t="s">
        <v>30</v>
      </c>
      <c r="C22" s="32">
        <f>Calc1!B11</f>
        <v>12.88052987971815</v>
      </c>
      <c r="D22" s="33" t="s">
        <v>31</v>
      </c>
      <c r="E22" s="38">
        <f>0.3048*C22</f>
        <v>3.9259855073380923</v>
      </c>
      <c r="F22" s="39" t="s">
        <v>10</v>
      </c>
    </row>
    <row r="23" spans="1:6">
      <c r="B23" s="16" t="s">
        <v>32</v>
      </c>
      <c r="C23" s="34">
        <f>Calc1!B26</f>
        <v>9.2062450145889958</v>
      </c>
      <c r="D23" s="33" t="s">
        <v>33</v>
      </c>
      <c r="E23" s="34"/>
      <c r="F23" s="35"/>
    </row>
    <row r="24" spans="1:6">
      <c r="B24" s="16" t="s">
        <v>34</v>
      </c>
      <c r="C24" s="32">
        <f>Calc1!D17</f>
        <v>3.5061727758433014</v>
      </c>
      <c r="D24" s="40" t="s">
        <v>35</v>
      </c>
      <c r="E24" s="41"/>
      <c r="F24" s="35"/>
    </row>
    <row r="25" spans="1:6">
      <c r="B25" s="16" t="s">
        <v>36</v>
      </c>
      <c r="C25" s="32">
        <f>Calc1!B22</f>
        <v>10.562034501368883</v>
      </c>
      <c r="D25" s="33" t="s">
        <v>37</v>
      </c>
      <c r="E25" s="34"/>
      <c r="F25" s="35"/>
    </row>
    <row r="26" spans="1:6">
      <c r="B26" s="16" t="s">
        <v>38</v>
      </c>
      <c r="C26" s="32">
        <f>Calc1!B20</f>
        <v>2178.7742824410025</v>
      </c>
      <c r="D26" s="33"/>
      <c r="E26" s="42"/>
      <c r="F26" s="35"/>
    </row>
    <row r="27" spans="1:6">
      <c r="B27" s="16" t="s">
        <v>39</v>
      </c>
      <c r="C27" s="32">
        <f>Calc1!D19</f>
        <v>146.18280801566226</v>
      </c>
      <c r="D27" s="33" t="s">
        <v>37</v>
      </c>
      <c r="E27" s="42"/>
      <c r="F27" s="35"/>
    </row>
    <row r="28" spans="1:6">
      <c r="B28" s="16" t="s">
        <v>40</v>
      </c>
      <c r="C28" s="32">
        <f>Calc1!B23</f>
        <v>1836.9205533272293</v>
      </c>
      <c r="D28" s="33" t="s">
        <v>41</v>
      </c>
      <c r="E28" s="42"/>
      <c r="F28" s="35"/>
    </row>
    <row r="29" spans="1:6">
      <c r="A29" s="43"/>
      <c r="B29" s="24" t="s">
        <v>42</v>
      </c>
      <c r="C29" s="44">
        <f>Calc1!D24</f>
        <v>24.492274044363057</v>
      </c>
      <c r="D29" s="45" t="s">
        <v>43</v>
      </c>
      <c r="E29" s="46">
        <f>Calc1!F24</f>
        <v>0.62210376072682161</v>
      </c>
      <c r="F29" s="47" t="s">
        <v>13</v>
      </c>
    </row>
    <row r="30" spans="1:6">
      <c r="B30" s="48" t="s">
        <v>44</v>
      </c>
      <c r="C30" s="32">
        <f>C13*C18/100</f>
        <v>2.0244027736383075</v>
      </c>
      <c r="D30" s="33" t="s">
        <v>17</v>
      </c>
    </row>
    <row r="31" spans="1:6">
      <c r="A31" s="1" t="s">
        <v>45</v>
      </c>
      <c r="B31" s="1"/>
    </row>
    <row r="32" spans="1:6">
      <c r="B32" s="1" t="s">
        <v>46</v>
      </c>
    </row>
    <row r="33" spans="1:6">
      <c r="B33" s="1" t="s">
        <v>47</v>
      </c>
    </row>
    <row r="34" spans="1:6">
      <c r="B34" s="1" t="s">
        <v>48</v>
      </c>
    </row>
    <row r="35" spans="1:6">
      <c r="B35" s="2" t="s">
        <v>49</v>
      </c>
    </row>
    <row r="36" spans="1:6">
      <c r="B36" s="1" t="s">
        <v>50</v>
      </c>
    </row>
    <row r="37" spans="1:6">
      <c r="A37" s="43"/>
      <c r="B37" s="1" t="s">
        <v>51</v>
      </c>
      <c r="C37" s="49"/>
      <c r="D37" s="43"/>
      <c r="E37" s="43"/>
      <c r="F37" s="43"/>
    </row>
    <row r="38" spans="1:6">
      <c r="A38" s="43"/>
      <c r="B38" s="43" t="s">
        <v>52</v>
      </c>
      <c r="C38" s="49"/>
      <c r="D38" s="43"/>
      <c r="E38" s="43"/>
      <c r="F38" s="43"/>
    </row>
    <row r="39" spans="1:6">
      <c r="B39" s="2" t="s">
        <v>53</v>
      </c>
    </row>
  </sheetData>
  <sheetProtection selectLockedCells="1" selectUnlockedCells="1"/>
  <hyperlinks>
    <hyperlink ref="C4" r:id="rId1" xr:uid="{00000000-0004-0000-0000-000000000000}"/>
  </hyperlink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26"/>
  <sheetViews>
    <sheetView workbookViewId="0">
      <selection activeCell="C12" sqref="C12"/>
    </sheetView>
  </sheetViews>
  <sheetFormatPr defaultRowHeight="12.75"/>
  <cols>
    <col min="1" max="1" width="9.140625" style="1"/>
    <col min="2" max="2" width="7.42578125" style="1" customWidth="1"/>
    <col min="3" max="3" width="59.140625" style="1" customWidth="1"/>
    <col min="4" max="16384" width="9.140625" style="1"/>
  </cols>
  <sheetData>
    <row r="1" spans="2:4" ht="15.75">
      <c r="C1" s="50" t="s">
        <v>54</v>
      </c>
    </row>
    <row r="2" spans="2:4" ht="16.5">
      <c r="C2" s="51" t="s">
        <v>55</v>
      </c>
    </row>
    <row r="4" spans="2:4" ht="15">
      <c r="C4" s="52" t="s">
        <v>56</v>
      </c>
    </row>
    <row r="5" spans="2:4" ht="15">
      <c r="C5" s="52" t="s">
        <v>57</v>
      </c>
    </row>
    <row r="6" spans="2:4" ht="15">
      <c r="C6" s="52" t="s">
        <v>58</v>
      </c>
    </row>
    <row r="7" spans="2:4" ht="15">
      <c r="C7" s="52" t="s">
        <v>59</v>
      </c>
    </row>
    <row r="8" spans="2:4" ht="15">
      <c r="C8" s="52" t="s">
        <v>60</v>
      </c>
    </row>
    <row r="9" spans="2:4" ht="15">
      <c r="C9" s="52" t="s">
        <v>61</v>
      </c>
    </row>
    <row r="10" spans="2:4" ht="15">
      <c r="C10" s="52" t="s">
        <v>62</v>
      </c>
      <c r="D10" s="1" t="s">
        <v>63</v>
      </c>
    </row>
    <row r="11" spans="2:4" ht="15">
      <c r="C11" s="52" t="s">
        <v>64</v>
      </c>
      <c r="D11" s="1" t="s">
        <v>65</v>
      </c>
    </row>
    <row r="12" spans="2:4" ht="15">
      <c r="C12" s="52" t="s">
        <v>66</v>
      </c>
    </row>
    <row r="13" spans="2:4" ht="15">
      <c r="C13" s="52" t="s">
        <v>67</v>
      </c>
    </row>
    <row r="14" spans="2:4" ht="15">
      <c r="C14" s="52" t="s">
        <v>68</v>
      </c>
    </row>
    <row r="16" spans="2:4" ht="16.5">
      <c r="B16" s="53" t="s">
        <v>69</v>
      </c>
    </row>
    <row r="17" spans="1:3" ht="15">
      <c r="C17" s="52" t="s">
        <v>70</v>
      </c>
    </row>
    <row r="18" spans="1:3" ht="15">
      <c r="C18" s="52" t="s">
        <v>71</v>
      </c>
    </row>
    <row r="19" spans="1:3" ht="15">
      <c r="C19" s="52" t="s">
        <v>72</v>
      </c>
    </row>
    <row r="20" spans="1:3" ht="15">
      <c r="C20" s="52" t="s">
        <v>73</v>
      </c>
    </row>
    <row r="21" spans="1:3" ht="15">
      <c r="C21" s="52" t="s">
        <v>74</v>
      </c>
    </row>
    <row r="22" spans="1:3" ht="15">
      <c r="C22" s="52" t="s">
        <v>75</v>
      </c>
    </row>
    <row r="24" spans="1:3" ht="15">
      <c r="A24" s="54" t="s">
        <v>76</v>
      </c>
      <c r="B24" s="55" t="s">
        <v>77</v>
      </c>
    </row>
    <row r="25" spans="1:3" ht="15">
      <c r="B25" s="55" t="s">
        <v>78</v>
      </c>
    </row>
    <row r="26" spans="1:3" ht="15">
      <c r="B26" s="55" t="s">
        <v>79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61"/>
  <sheetViews>
    <sheetView topLeftCell="A6" workbookViewId="0">
      <selection activeCell="B23" sqref="B23"/>
    </sheetView>
  </sheetViews>
  <sheetFormatPr defaultRowHeight="12.75"/>
  <cols>
    <col min="1" max="1" width="25.140625" style="1" customWidth="1"/>
    <col min="2" max="13" width="13.7109375" style="56" customWidth="1"/>
    <col min="14" max="14" width="10.5703125" style="1" customWidth="1"/>
    <col min="15" max="15" width="12.85546875" style="1" customWidth="1"/>
    <col min="16" max="16384" width="9.140625" style="1"/>
  </cols>
  <sheetData>
    <row r="1" spans="1:7">
      <c r="A1" s="57"/>
    </row>
    <row r="2" spans="1:7">
      <c r="A2" s="2" t="s">
        <v>80</v>
      </c>
    </row>
    <row r="3" spans="1:7">
      <c r="A3" s="58" t="s">
        <v>81</v>
      </c>
      <c r="B3" s="59">
        <f>PI()</f>
        <v>3.1415926535897931</v>
      </c>
      <c r="C3" s="60"/>
      <c r="D3" s="61"/>
      <c r="E3" s="62"/>
    </row>
    <row r="4" spans="1:7">
      <c r="A4" s="63" t="s">
        <v>82</v>
      </c>
      <c r="B4" s="64">
        <f>(Main!C10)*12</f>
        <v>49.199999999999996</v>
      </c>
      <c r="C4" s="61" t="s">
        <v>12</v>
      </c>
      <c r="D4" s="65">
        <f>B4*0.0254</f>
        <v>1.2496799999999999</v>
      </c>
      <c r="E4" s="66" t="s">
        <v>10</v>
      </c>
    </row>
    <row r="5" spans="1:7">
      <c r="A5" s="63" t="s">
        <v>83</v>
      </c>
      <c r="B5" s="64">
        <f>Main!C11</f>
        <v>0.6</v>
      </c>
      <c r="C5" s="61" t="s">
        <v>12</v>
      </c>
      <c r="D5" s="61">
        <f>B5*0.0254</f>
        <v>1.5239999999999998E-2</v>
      </c>
      <c r="E5" s="62" t="s">
        <v>10</v>
      </c>
    </row>
    <row r="6" spans="1:7">
      <c r="A6" s="63" t="s">
        <v>84</v>
      </c>
      <c r="B6" s="64">
        <f>Main!C12</f>
        <v>0</v>
      </c>
      <c r="C6" s="61" t="s">
        <v>28</v>
      </c>
      <c r="D6" s="61">
        <f>B6/1000</f>
        <v>0</v>
      </c>
      <c r="E6" s="62" t="s">
        <v>85</v>
      </c>
    </row>
    <row r="7" spans="1:7">
      <c r="A7" s="63" t="s">
        <v>86</v>
      </c>
      <c r="B7" s="67">
        <f>Main!C13</f>
        <v>10</v>
      </c>
      <c r="C7" s="60" t="s">
        <v>17</v>
      </c>
      <c r="D7" s="61"/>
      <c r="E7" s="62"/>
    </row>
    <row r="8" spans="1:7">
      <c r="A8" s="63" t="s">
        <v>87</v>
      </c>
      <c r="B8" s="64">
        <f>Main!C9</f>
        <v>7.03</v>
      </c>
      <c r="C8" s="61" t="s">
        <v>7</v>
      </c>
      <c r="D8" s="68">
        <f>B8*1000000</f>
        <v>7030000</v>
      </c>
      <c r="E8" s="62" t="s">
        <v>88</v>
      </c>
    </row>
    <row r="9" spans="1:7">
      <c r="A9" s="57"/>
      <c r="B9" s="69">
        <f>(96*B11)/(B3*B5)</f>
        <v>655.99999999999989</v>
      </c>
    </row>
    <row r="10" spans="1:7">
      <c r="A10" s="2" t="s">
        <v>89</v>
      </c>
    </row>
    <row r="11" spans="1:7">
      <c r="A11" s="63" t="s">
        <v>90</v>
      </c>
      <c r="B11" s="70">
        <f>(Main!C10*B3)</f>
        <v>12.88052987971815</v>
      </c>
      <c r="C11" s="71" t="s">
        <v>91</v>
      </c>
      <c r="D11" s="72">
        <f>B11*0.3048</f>
        <v>3.9259855073380923</v>
      </c>
      <c r="E11" s="72" t="s">
        <v>10</v>
      </c>
      <c r="F11" s="73"/>
      <c r="G11" s="74"/>
    </row>
    <row r="12" spans="1:7">
      <c r="A12" s="63" t="s">
        <v>92</v>
      </c>
      <c r="B12" s="70">
        <f>B3*((B4/24)*(B4/24))</f>
        <v>13.202543126711104</v>
      </c>
      <c r="C12" s="71" t="s">
        <v>25</v>
      </c>
      <c r="D12" s="72">
        <f>B12*0.09290304</f>
        <v>1.2265563922025668</v>
      </c>
      <c r="E12" s="72" t="s">
        <v>26</v>
      </c>
      <c r="F12" s="72"/>
      <c r="G12" s="75"/>
    </row>
    <row r="13" spans="1:7">
      <c r="A13" s="63" t="s">
        <v>93</v>
      </c>
      <c r="B13" s="76">
        <f>(0.0000000338)*(((B8*B8)*B12)*((B8*B8)*B12))</f>
        <v>1.4389748050800802E-2</v>
      </c>
      <c r="C13" s="72" t="s">
        <v>85</v>
      </c>
      <c r="D13" s="71">
        <f>B13*1000</f>
        <v>14.389748050800803</v>
      </c>
      <c r="E13" s="71" t="s">
        <v>28</v>
      </c>
      <c r="F13" s="72"/>
      <c r="G13" s="75"/>
    </row>
    <row r="14" spans="1:7">
      <c r="A14" s="63" t="s">
        <v>94</v>
      </c>
      <c r="B14" s="76">
        <f>(0.000996)*SQRT(B8)*(B11/B5)</f>
        <v>5.6691699960353552E-2</v>
      </c>
      <c r="C14" s="72" t="s">
        <v>85</v>
      </c>
      <c r="D14" s="71">
        <f>B14*1000</f>
        <v>56.691699960353553</v>
      </c>
      <c r="E14" s="77" t="s">
        <v>28</v>
      </c>
      <c r="F14" s="72"/>
      <c r="G14" s="75"/>
    </row>
    <row r="15" spans="1:7">
      <c r="A15" s="63" t="s">
        <v>95</v>
      </c>
      <c r="B15" s="78">
        <f>D6+B14</f>
        <v>5.6691699960353552E-2</v>
      </c>
      <c r="C15" s="79" t="s">
        <v>85</v>
      </c>
      <c r="D15" s="80">
        <f>B15*1000</f>
        <v>56.691699960353553</v>
      </c>
      <c r="E15" s="71" t="s">
        <v>28</v>
      </c>
      <c r="F15" s="72"/>
      <c r="G15" s="75"/>
    </row>
    <row r="16" spans="1:7">
      <c r="A16" s="63" t="s">
        <v>96</v>
      </c>
      <c r="B16" s="81">
        <f>B13/(B13+B15)</f>
        <v>0.20244027736383075</v>
      </c>
      <c r="C16" s="82"/>
      <c r="D16" s="83">
        <f>B16*100</f>
        <v>20.244027736383075</v>
      </c>
      <c r="E16" s="83" t="s">
        <v>22</v>
      </c>
      <c r="F16" s="77">
        <f>(LOG10(B16))*10</f>
        <v>-6.9370307633510011</v>
      </c>
      <c r="G16" s="84" t="s">
        <v>23</v>
      </c>
    </row>
    <row r="17" spans="1:13">
      <c r="A17" s="63" t="s">
        <v>97</v>
      </c>
      <c r="B17" s="76">
        <f>(0.000000019)*B11*((7.353*(LOG(B9,10))-6.386))</f>
        <v>3.5061727758433014E-6</v>
      </c>
      <c r="C17" s="72" t="s">
        <v>98</v>
      </c>
      <c r="D17" s="71">
        <f>B17*1000000</f>
        <v>3.5061727758433014</v>
      </c>
      <c r="E17" s="71" t="s">
        <v>35</v>
      </c>
      <c r="F17" s="72"/>
      <c r="G17" s="75"/>
    </row>
    <row r="18" spans="1:13">
      <c r="A18" s="63" t="s">
        <v>99</v>
      </c>
      <c r="B18" s="85">
        <f>2*B3*B8*B17*1000000</f>
        <v>154.87043088537024</v>
      </c>
      <c r="C18" s="71" t="s">
        <v>85</v>
      </c>
      <c r="D18" s="72"/>
      <c r="E18" s="72"/>
      <c r="F18" s="72"/>
      <c r="G18" s="75"/>
    </row>
    <row r="19" spans="1:13">
      <c r="A19" s="63" t="s">
        <v>100</v>
      </c>
      <c r="B19" s="76">
        <f>1/(2*B3*B8*B18*1000000)</f>
        <v>1.4618280801566225E-10</v>
      </c>
      <c r="C19" s="72" t="s">
        <v>101</v>
      </c>
      <c r="D19" s="71">
        <f>B19*1000000000000</f>
        <v>146.18280801566226</v>
      </c>
      <c r="E19" s="71" t="s">
        <v>102</v>
      </c>
      <c r="F19" s="72"/>
      <c r="G19" s="75"/>
    </row>
    <row r="20" spans="1:13">
      <c r="A20" s="63" t="s">
        <v>103</v>
      </c>
      <c r="B20" s="81">
        <f>B18/(B13+B15)</f>
        <v>2178.7742824410025</v>
      </c>
      <c r="C20" s="72"/>
      <c r="D20" s="72"/>
      <c r="E20" s="72"/>
      <c r="F20" s="72"/>
      <c r="G20" s="75"/>
      <c r="H20" s="56" t="s">
        <v>104</v>
      </c>
    </row>
    <row r="21" spans="1:13">
      <c r="A21" s="63" t="s">
        <v>105</v>
      </c>
      <c r="B21" s="76">
        <f>D8/B20</f>
        <v>3226.5848080985693</v>
      </c>
      <c r="C21" s="72" t="s">
        <v>88</v>
      </c>
      <c r="D21" s="71">
        <f>B21/1000</f>
        <v>3.2265848080985693</v>
      </c>
      <c r="E21" s="71" t="s">
        <v>106</v>
      </c>
      <c r="F21" s="72"/>
      <c r="G21" s="75"/>
    </row>
    <row r="22" spans="1:13">
      <c r="A22" s="63" t="s">
        <v>107</v>
      </c>
      <c r="B22" s="86">
        <f>0.82*B11</f>
        <v>10.562034501368883</v>
      </c>
      <c r="C22" s="83" t="s">
        <v>102</v>
      </c>
      <c r="D22" s="72"/>
      <c r="E22" s="72"/>
      <c r="F22" s="72"/>
      <c r="G22" s="75"/>
    </row>
    <row r="23" spans="1:13">
      <c r="A23" s="63" t="s">
        <v>108</v>
      </c>
      <c r="B23" s="87">
        <f>SQRT(B7*B18*B20)</f>
        <v>1836.9205533272293</v>
      </c>
      <c r="C23" s="71" t="s">
        <v>41</v>
      </c>
      <c r="D23" s="72"/>
      <c r="E23" s="72"/>
      <c r="F23" s="72"/>
      <c r="G23" s="75"/>
    </row>
    <row r="24" spans="1:13">
      <c r="A24" s="63" t="s">
        <v>109</v>
      </c>
      <c r="B24" s="88">
        <f>B23/75000</f>
        <v>2.4492274044363056E-2</v>
      </c>
      <c r="C24" s="73" t="s">
        <v>110</v>
      </c>
      <c r="D24" s="71">
        <f>B24*1000</f>
        <v>24.492274044363057</v>
      </c>
      <c r="E24" s="71" t="s">
        <v>111</v>
      </c>
      <c r="F24" s="71">
        <f>25.4*B24</f>
        <v>0.62210376072682161</v>
      </c>
      <c r="G24" s="89" t="s">
        <v>13</v>
      </c>
    </row>
    <row r="25" spans="1:13">
      <c r="A25" s="63" t="s">
        <v>112</v>
      </c>
      <c r="B25" s="76">
        <f>D25*3.28083</f>
        <v>139.91036531863443</v>
      </c>
      <c r="C25" s="72" t="s">
        <v>91</v>
      </c>
      <c r="D25" s="71">
        <f>299793000/D8</f>
        <v>42.644807965860601</v>
      </c>
      <c r="E25" s="71" t="s">
        <v>10</v>
      </c>
      <c r="F25" s="72"/>
      <c r="G25" s="75"/>
    </row>
    <row r="26" spans="1:13">
      <c r="A26" s="63" t="s">
        <v>113</v>
      </c>
      <c r="B26" s="86">
        <f>(D11/D25)*100</f>
        <v>9.2062450145889958</v>
      </c>
      <c r="C26" s="80" t="s">
        <v>22</v>
      </c>
      <c r="D26" s="72"/>
      <c r="E26" s="72"/>
      <c r="F26" s="72"/>
      <c r="G26" s="75"/>
    </row>
    <row r="27" spans="1:13">
      <c r="A27" s="18"/>
    </row>
    <row r="28" spans="1:13">
      <c r="A28" s="90"/>
      <c r="B28" s="91" t="s">
        <v>114</v>
      </c>
      <c r="C28" s="92" t="s">
        <v>115</v>
      </c>
      <c r="D28" s="92" t="s">
        <v>116</v>
      </c>
      <c r="E28" s="93"/>
      <c r="F28" s="92" t="s">
        <v>117</v>
      </c>
      <c r="G28" s="93" t="s">
        <v>118</v>
      </c>
      <c r="H28" s="92" t="s">
        <v>119</v>
      </c>
      <c r="I28" s="93"/>
      <c r="J28" s="94" t="s">
        <v>120</v>
      </c>
      <c r="K28" s="92" t="s">
        <v>121</v>
      </c>
      <c r="L28" s="92"/>
      <c r="M28" s="92"/>
    </row>
    <row r="29" spans="1:13">
      <c r="A29" s="95" t="s">
        <v>122</v>
      </c>
      <c r="B29" s="96" t="s">
        <v>123</v>
      </c>
      <c r="C29" s="96" t="s">
        <v>123</v>
      </c>
      <c r="D29" s="96" t="s">
        <v>123</v>
      </c>
      <c r="E29" s="97" t="s">
        <v>124</v>
      </c>
      <c r="F29" s="96" t="s">
        <v>125</v>
      </c>
      <c r="G29" s="97" t="s">
        <v>120</v>
      </c>
      <c r="H29" s="96" t="s">
        <v>126</v>
      </c>
      <c r="I29" s="97" t="s">
        <v>127</v>
      </c>
      <c r="J29" s="98" t="s">
        <v>128</v>
      </c>
      <c r="K29" s="96" t="s">
        <v>129</v>
      </c>
      <c r="L29" s="96" t="s">
        <v>130</v>
      </c>
      <c r="M29" s="96" t="s">
        <v>131</v>
      </c>
    </row>
    <row r="30" spans="1:13">
      <c r="A30" s="99" t="s">
        <v>101</v>
      </c>
      <c r="B30" s="100" t="s">
        <v>132</v>
      </c>
      <c r="C30" s="100" t="s">
        <v>133</v>
      </c>
      <c r="D30" s="101" t="s">
        <v>134</v>
      </c>
      <c r="E30" s="102" t="s">
        <v>135</v>
      </c>
      <c r="F30" s="100" t="s">
        <v>136</v>
      </c>
      <c r="G30" s="102" t="s">
        <v>137</v>
      </c>
      <c r="H30" s="100" t="s">
        <v>138</v>
      </c>
      <c r="I30" s="103" t="s">
        <v>139</v>
      </c>
      <c r="J30" s="104" t="s">
        <v>140</v>
      </c>
      <c r="K30" s="100" t="s">
        <v>141</v>
      </c>
      <c r="L30" s="100" t="s">
        <v>142</v>
      </c>
      <c r="M30" s="105" t="s">
        <v>33</v>
      </c>
    </row>
    <row r="31" spans="1:13">
      <c r="A31" s="106" t="s">
        <v>7</v>
      </c>
      <c r="B31" s="107" t="s">
        <v>28</v>
      </c>
      <c r="C31" s="107" t="s">
        <v>28</v>
      </c>
      <c r="D31" s="107" t="s">
        <v>28</v>
      </c>
      <c r="E31" s="108" t="s">
        <v>23</v>
      </c>
      <c r="F31" s="107" t="s">
        <v>85</v>
      </c>
      <c r="G31" s="108" t="s">
        <v>102</v>
      </c>
      <c r="H31" s="107"/>
      <c r="I31" s="108" t="s">
        <v>106</v>
      </c>
      <c r="J31" s="109" t="s">
        <v>41</v>
      </c>
      <c r="K31" s="107" t="s">
        <v>111</v>
      </c>
      <c r="L31" s="107" t="s">
        <v>10</v>
      </c>
      <c r="M31" s="110"/>
    </row>
    <row r="32" spans="1:13">
      <c r="A32" s="111">
        <v>1</v>
      </c>
      <c r="B32" s="112">
        <f>((0.0000000338)*(((A32*A32)*B12)*((A32*A32)*B12)))*1000</f>
        <v>5.8915815014281316E-3</v>
      </c>
      <c r="C32" s="112">
        <f>((0.000996)*SQRT(A32)*(B11/B5))*1000</f>
        <v>21.381679600332127</v>
      </c>
      <c r="D32" s="112">
        <f>C32+B6</f>
        <v>21.381679600332127</v>
      </c>
      <c r="E32" s="113">
        <f t="shared" ref="E32:E61" si="0">10*LOG(B32/(B32+D32))</f>
        <v>-35.59929578075814</v>
      </c>
      <c r="F32" s="112">
        <f>2*B3*A32*B17*1000000</f>
        <v>22.029933269611696</v>
      </c>
      <c r="G32" s="113">
        <f>(1/(2*B3*A32*F32*1000000))*1000000000000</f>
        <v>7224.4859366612427</v>
      </c>
      <c r="H32" s="112">
        <f t="shared" ref="H32:H61" si="1">F32/((1*(B32+D32))/1000)</f>
        <v>1030.0343635243521</v>
      </c>
      <c r="I32" s="113">
        <f>(A32/H32)*1000</f>
        <v>0.97084139657089985</v>
      </c>
      <c r="J32" s="112">
        <f>SQRT(B7*F32*H32)</f>
        <v>476.3568861037744</v>
      </c>
      <c r="K32" s="112">
        <f>1000*(J32/75000)</f>
        <v>6.3514251480503257</v>
      </c>
      <c r="L32" s="112">
        <f>299.793/A32</f>
        <v>299.79300000000001</v>
      </c>
      <c r="M32" s="112">
        <f>(D11/L32*100)</f>
        <v>1.3095654359301558</v>
      </c>
    </row>
    <row r="33" spans="1:13">
      <c r="A33" s="111">
        <v>2</v>
      </c>
      <c r="B33" s="112">
        <f>((0.0000000338)*(((A33*A33)*B12)*((A33*A33)*B12)))*1000</f>
        <v>9.4265304022850105E-2</v>
      </c>
      <c r="C33" s="112">
        <f>((0.000996)*SQRT(A33)*(B11/B5))*1000</f>
        <v>30.238261277105835</v>
      </c>
      <c r="D33" s="112">
        <f>C33+B6</f>
        <v>30.238261277105835</v>
      </c>
      <c r="E33" s="113">
        <f t="shared" si="0"/>
        <v>-25.075567143085429</v>
      </c>
      <c r="F33" s="112">
        <f>2*B3*A33*B17*1000000</f>
        <v>44.059866539223393</v>
      </c>
      <c r="G33" s="113">
        <f>(1/(2*B3*A33*F33*1000000))*1000000000000</f>
        <v>1806.1214841653107</v>
      </c>
      <c r="H33" s="112">
        <f t="shared" si="1"/>
        <v>1452.561705381811</v>
      </c>
      <c r="I33" s="113">
        <f t="shared" ref="I33:I61" si="2">(A33/H33)*1000</f>
        <v>1.3768778239092383</v>
      </c>
      <c r="J33" s="112">
        <f>SQRT(B7*F33*H33)</f>
        <v>799.99796799185253</v>
      </c>
      <c r="K33" s="112">
        <f t="shared" ref="K33:K61" si="3">1000*(J33/75000)</f>
        <v>10.666639573224701</v>
      </c>
      <c r="L33" s="112">
        <f t="shared" ref="L33:L61" si="4">299.793/A33</f>
        <v>149.8965</v>
      </c>
      <c r="M33" s="112">
        <f>(D11/L33)*100</f>
        <v>2.6191308718603117</v>
      </c>
    </row>
    <row r="34" spans="1:13">
      <c r="A34" s="111">
        <v>3</v>
      </c>
      <c r="B34" s="112">
        <f>((0.0000000338)*(((A34*A34)*B12)*((A34*A34)*B12)))*1000</f>
        <v>0.47721810161567868</v>
      </c>
      <c r="C34" s="112">
        <f>((0.000996)*SQRT(A34)*(B11/B5))*1000</f>
        <v>37.034155418934247</v>
      </c>
      <c r="D34" s="112">
        <f>C34+B6</f>
        <v>37.034155418934247</v>
      </c>
      <c r="E34" s="113">
        <f t="shared" si="0"/>
        <v>-18.954460578484628</v>
      </c>
      <c r="F34" s="112">
        <f>2*B3*A34*B17*1000000</f>
        <v>66.089799808835082</v>
      </c>
      <c r="G34" s="113">
        <f>(1/(2*B3*A34*F34*1000000))*1000000000000</f>
        <v>802.72065962902707</v>
      </c>
      <c r="H34" s="112">
        <f t="shared" si="1"/>
        <v>1761.8603001201486</v>
      </c>
      <c r="I34" s="113">
        <f t="shared" si="2"/>
        <v>1.7027456716037119</v>
      </c>
      <c r="J34" s="112">
        <f>SQRT(B7*F34*H34)</f>
        <v>1079.0782850473581</v>
      </c>
      <c r="K34" s="112">
        <f t="shared" si="3"/>
        <v>14.387710467298108</v>
      </c>
      <c r="L34" s="112">
        <f t="shared" si="4"/>
        <v>99.930999999999997</v>
      </c>
      <c r="M34" s="112">
        <f>(D11/L34)*100</f>
        <v>3.9286963077904677</v>
      </c>
    </row>
    <row r="35" spans="1:13">
      <c r="A35" s="111">
        <v>4</v>
      </c>
      <c r="B35" s="112">
        <f>((0.0000000338)*(((A35*A35)*B12)*((A35*A35)*B12)))*1000</f>
        <v>1.5082448643656017</v>
      </c>
      <c r="C35" s="112">
        <f>((0.000996)*SQRT(A35)*(B11/B5))*1000</f>
        <v>42.763359200664254</v>
      </c>
      <c r="D35" s="112">
        <f>C35+B6</f>
        <v>42.763359200664254</v>
      </c>
      <c r="E35" s="113">
        <f t="shared" si="0"/>
        <v>-14.6765340258042</v>
      </c>
      <c r="F35" s="112">
        <f>2*B3*A35*B17*1000000</f>
        <v>88.119733078446785</v>
      </c>
      <c r="G35" s="113">
        <f>(1/(2*B3*A35*F35*1000000))*1000000000000</f>
        <v>451.53037104132767</v>
      </c>
      <c r="H35" s="112">
        <f t="shared" si="1"/>
        <v>1990.4346124212964</v>
      </c>
      <c r="I35" s="113">
        <f t="shared" si="2"/>
        <v>2.0096113557501574</v>
      </c>
      <c r="J35" s="112">
        <f>SQRT(B7*F35*H35)</f>
        <v>1324.3736887928055</v>
      </c>
      <c r="K35" s="112">
        <f t="shared" si="3"/>
        <v>17.658315850570741</v>
      </c>
      <c r="L35" s="112">
        <f t="shared" si="4"/>
        <v>74.948250000000002</v>
      </c>
      <c r="M35" s="112">
        <f>(D11/L35)*100</f>
        <v>5.2382617437206234</v>
      </c>
    </row>
    <row r="36" spans="1:13">
      <c r="A36" s="111">
        <v>5</v>
      </c>
      <c r="B36" s="112">
        <f>((0.0000000338)*(((A36*A36)*B12)*((A36*A36)*B12)))*1000</f>
        <v>3.6822384383925826</v>
      </c>
      <c r="C36" s="112">
        <f>((0.000996)*SQRT(A36)*(B11/B5))*1000</f>
        <v>47.810889059463172</v>
      </c>
      <c r="D36" s="112">
        <f>C36+B6</f>
        <v>47.810889059463172</v>
      </c>
      <c r="E36" s="113">
        <f t="shared" si="0"/>
        <v>-11.456373627999383</v>
      </c>
      <c r="F36" s="112">
        <f>2*B3*A36*B17*1000000</f>
        <v>110.14966634805849</v>
      </c>
      <c r="G36" s="113">
        <f>(1/(2*B3*A36*F36*1000000))*1000000000000</f>
        <v>288.97943746644972</v>
      </c>
      <c r="H36" s="112">
        <f t="shared" si="1"/>
        <v>2139.1139303520704</v>
      </c>
      <c r="I36" s="113">
        <f t="shared" si="2"/>
        <v>2.3374164082868951</v>
      </c>
      <c r="J36" s="112">
        <f>SQRT(B7*F36*H36)</f>
        <v>1535.0006049144233</v>
      </c>
      <c r="K36" s="112">
        <f t="shared" si="3"/>
        <v>20.46667473219231</v>
      </c>
      <c r="L36" s="112">
        <f t="shared" si="4"/>
        <v>59.958600000000004</v>
      </c>
      <c r="M36" s="112">
        <f>(D11/L36)*100</f>
        <v>6.5478271796507794</v>
      </c>
    </row>
    <row r="37" spans="1:13">
      <c r="A37" s="111">
        <v>6</v>
      </c>
      <c r="B37" s="112">
        <f>((0.0000000338)*(((A37*A37)*B12)*((A37*A37)*B12)))*1000</f>
        <v>7.6354896258508589</v>
      </c>
      <c r="C37" s="112">
        <f>((0.000996)*SQRT(A37)*(B11/B5))*1000</f>
        <v>52.374204864489869</v>
      </c>
      <c r="D37" s="112">
        <f>C37+B6</f>
        <v>52.374204864489869</v>
      </c>
      <c r="E37" s="113">
        <f t="shared" si="0"/>
        <v>-8.9538452435279865</v>
      </c>
      <c r="F37" s="112">
        <f>2*B3*A37*B17*1000000</f>
        <v>132.17959961767016</v>
      </c>
      <c r="G37" s="113">
        <f>(1/(2*B3*A37*F37*1000000))*1000000000000</f>
        <v>200.68016490725677</v>
      </c>
      <c r="H37" s="112">
        <f t="shared" si="1"/>
        <v>2202.6374361720177</v>
      </c>
      <c r="I37" s="113">
        <f t="shared" si="2"/>
        <v>2.724007093254281</v>
      </c>
      <c r="J37" s="112">
        <f>SQRT(B7*F37*H37)</f>
        <v>1706.2934519481366</v>
      </c>
      <c r="K37" s="112">
        <f t="shared" si="3"/>
        <v>22.750579359308489</v>
      </c>
      <c r="L37" s="112">
        <f t="shared" si="4"/>
        <v>49.965499999999999</v>
      </c>
      <c r="M37" s="112">
        <f>(D11/L37)*100</f>
        <v>7.8573926155809355</v>
      </c>
    </row>
    <row r="38" spans="1:13">
      <c r="A38" s="111">
        <v>7</v>
      </c>
      <c r="B38" s="112">
        <f>((0.0000000338)*(((A38*A38)*B12)*((A38*A38)*B12)))*1000</f>
        <v>14.145687184928942</v>
      </c>
      <c r="C38" s="112">
        <f>((0.000996)*SQRT(A38)*(B11/B5))*1000</f>
        <v>56.570606835341735</v>
      </c>
      <c r="D38" s="112">
        <f>C38+B6</f>
        <v>56.570606835341735</v>
      </c>
      <c r="E38" s="113">
        <f t="shared" si="0"/>
        <v>-6.9889544288598184</v>
      </c>
      <c r="F38" s="112">
        <f>2*B3*A38*B17*1000000</f>
        <v>154.20953288728188</v>
      </c>
      <c r="G38" s="113">
        <f>(1/(2*B3*A38*F38*1000000))*1000000000000</f>
        <v>147.4384885032907</v>
      </c>
      <c r="H38" s="112">
        <f t="shared" si="1"/>
        <v>2180.6789372061553</v>
      </c>
      <c r="I38" s="113">
        <f t="shared" si="2"/>
        <v>3.2100094519041251</v>
      </c>
      <c r="J38" s="112">
        <f>SQRT(B7*F38*H38)</f>
        <v>1833.7979176662175</v>
      </c>
      <c r="K38" s="112">
        <f t="shared" si="3"/>
        <v>24.450638902216234</v>
      </c>
      <c r="L38" s="112">
        <f t="shared" si="4"/>
        <v>42.827571428571432</v>
      </c>
      <c r="M38" s="112">
        <f>(D11/L38)*100</f>
        <v>9.1669580515110916</v>
      </c>
    </row>
    <row r="39" spans="1:13">
      <c r="A39" s="111">
        <v>8</v>
      </c>
      <c r="B39" s="112">
        <f>((0.0000000338)*(((A39*A39)*B12)*((A39*A39)*B12)))*1000</f>
        <v>24.131917829849627</v>
      </c>
      <c r="C39" s="112">
        <f>((0.000996)*SQRT(A39)*(B11/B5))*1000</f>
        <v>60.47652255421167</v>
      </c>
      <c r="D39" s="112">
        <f>C39+B6</f>
        <v>60.47652255421167</v>
      </c>
      <c r="E39" s="113">
        <f t="shared" si="0"/>
        <v>-5.448218517707196</v>
      </c>
      <c r="F39" s="112">
        <f>2*B3*A39*B17*1000000</f>
        <v>176.23946615689357</v>
      </c>
      <c r="G39" s="113">
        <f>(1/(2*B3*A39*F39*1000000))*1000000000000</f>
        <v>112.88259276033192</v>
      </c>
      <c r="H39" s="112">
        <f t="shared" si="1"/>
        <v>2083.0010027001267</v>
      </c>
      <c r="I39" s="113">
        <f t="shared" si="2"/>
        <v>3.8406126495521891</v>
      </c>
      <c r="J39" s="112">
        <f>SQRT(B7*F39*H39)</f>
        <v>1916.0036135669063</v>
      </c>
      <c r="K39" s="112">
        <f t="shared" si="3"/>
        <v>25.54671484755875</v>
      </c>
      <c r="L39" s="112">
        <f t="shared" si="4"/>
        <v>37.474125000000001</v>
      </c>
      <c r="M39" s="112">
        <f>(D11/L39)*100</f>
        <v>10.476523487441247</v>
      </c>
    </row>
    <row r="40" spans="1:13">
      <c r="A40" s="111">
        <v>9</v>
      </c>
      <c r="B40" s="112">
        <f>((0.0000000338)*(((A40*A40)*B12)*((A40*A40)*B12)))*1000</f>
        <v>38.654666230869964</v>
      </c>
      <c r="C40" s="112">
        <f>((0.000996)*SQRT(A40)*(B11/B5))*1000</f>
        <v>64.145038800996389</v>
      </c>
      <c r="D40" s="112">
        <f>C40+B6</f>
        <v>64.145038800996389</v>
      </c>
      <c r="E40" s="113">
        <f t="shared" si="0"/>
        <v>-4.2478994087277897</v>
      </c>
      <c r="F40" s="112">
        <f>2*B3*A40*B17*1000000</f>
        <v>198.26939942650526</v>
      </c>
      <c r="G40" s="113">
        <f>(1/(2*B3*A40*F40*1000000))*1000000000000</f>
        <v>89.191184403225236</v>
      </c>
      <c r="H40" s="112">
        <f t="shared" si="1"/>
        <v>1928.6961899846381</v>
      </c>
      <c r="I40" s="113">
        <f t="shared" si="2"/>
        <v>4.6663647943804385</v>
      </c>
      <c r="J40" s="112">
        <f>SQRT(B7*F40*H40)</f>
        <v>1955.5087196544102</v>
      </c>
      <c r="K40" s="112">
        <f t="shared" si="3"/>
        <v>26.073449595392137</v>
      </c>
      <c r="L40" s="112">
        <f t="shared" si="4"/>
        <v>33.310333333333332</v>
      </c>
      <c r="M40" s="112">
        <f>(D11/L40)*100</f>
        <v>11.786088923371404</v>
      </c>
    </row>
    <row r="41" spans="1:13">
      <c r="A41" s="111">
        <v>10</v>
      </c>
      <c r="B41" s="112">
        <f>((0.0000000338)*(((A41*A41)*B12)*((A41*A41)*B12)))*1000</f>
        <v>58.915815014281321</v>
      </c>
      <c r="C41" s="112">
        <f>((0.000996)*SQRT(A41)*(B11/B5))*1000</f>
        <v>67.614807737008249</v>
      </c>
      <c r="D41" s="112">
        <f>C41+B6</f>
        <v>67.614807737008249</v>
      </c>
      <c r="E41" s="113">
        <f t="shared" si="0"/>
        <v>-3.3196375564217453</v>
      </c>
      <c r="F41" s="112">
        <f>2*B3*A41*B17*1000000</f>
        <v>220.29933269611698</v>
      </c>
      <c r="G41" s="113">
        <f>(1/(2*B3*A41*F41*1000000))*1000000000000</f>
        <v>72.244859366612431</v>
      </c>
      <c r="H41" s="112">
        <f t="shared" si="1"/>
        <v>1741.07522673891</v>
      </c>
      <c r="I41" s="113">
        <f t="shared" si="2"/>
        <v>5.7435772139095462</v>
      </c>
      <c r="J41" s="112">
        <f>SQRT(B7*F41*H41)</f>
        <v>1958.4629448226035</v>
      </c>
      <c r="K41" s="112">
        <f t="shared" si="3"/>
        <v>26.112839264301382</v>
      </c>
      <c r="L41" s="112">
        <f t="shared" si="4"/>
        <v>29.979300000000002</v>
      </c>
      <c r="M41" s="112">
        <f>(D11/L41)*100</f>
        <v>13.095654359301559</v>
      </c>
    </row>
    <row r="42" spans="1:13">
      <c r="A42" s="111">
        <v>11</v>
      </c>
      <c r="B42" s="112">
        <f>((0.0000000338)*(((A42*A42)*B12)*((A42*A42)*B12)))*1000</f>
        <v>86.258644762409276</v>
      </c>
      <c r="C42" s="112">
        <f>((0.000996)*SQRT(A42)*(B11/B5))*1000</f>
        <v>70.915008621897869</v>
      </c>
      <c r="D42" s="112">
        <f>C42+B6</f>
        <v>70.915008621897869</v>
      </c>
      <c r="E42" s="113">
        <f t="shared" si="0"/>
        <v>-2.6057711761430333</v>
      </c>
      <c r="F42" s="112">
        <f>2*B3*A42*B17*1000000</f>
        <v>242.32926596572864</v>
      </c>
      <c r="G42" s="113">
        <f>(1/(2*B3*A42*F42*1000000))*1000000000000</f>
        <v>59.706495344307811</v>
      </c>
      <c r="H42" s="112">
        <f t="shared" si="1"/>
        <v>1541.7931742873373</v>
      </c>
      <c r="I42" s="113">
        <f t="shared" si="2"/>
        <v>7.1345496811428859</v>
      </c>
      <c r="J42" s="112">
        <f>SQRT(B7*F42*H42)</f>
        <v>1932.9294042877541</v>
      </c>
      <c r="K42" s="112">
        <f t="shared" si="3"/>
        <v>25.772392057170055</v>
      </c>
      <c r="L42" s="112">
        <f t="shared" si="4"/>
        <v>27.25390909090909</v>
      </c>
      <c r="M42" s="112">
        <f>(D11/L42)*100</f>
        <v>14.405219795231716</v>
      </c>
    </row>
    <row r="43" spans="1:13">
      <c r="A43" s="111">
        <v>12</v>
      </c>
      <c r="B43" s="112">
        <f>((0.0000000338)*(((A43*A43)*B12)*((A43*A43)*B12)))*1000</f>
        <v>122.16783401361374</v>
      </c>
      <c r="C43" s="112">
        <f>((0.000996)*SQRT(A43)*(B11/B5))*1000</f>
        <v>74.068310837868495</v>
      </c>
      <c r="D43" s="112">
        <f>C43+B6</f>
        <v>74.068310837868495</v>
      </c>
      <c r="E43" s="113">
        <f t="shared" si="0"/>
        <v>-2.0582212928963055</v>
      </c>
      <c r="F43" s="112">
        <f>2*B3*A43*B17*1000000</f>
        <v>264.35919923534033</v>
      </c>
      <c r="G43" s="113">
        <f>(1/(2*B3*A43*F43*1000000))*1000000000000</f>
        <v>50.170041226814192</v>
      </c>
      <c r="H43" s="112">
        <f t="shared" si="1"/>
        <v>1347.1483524883542</v>
      </c>
      <c r="I43" s="113">
        <f t="shared" si="2"/>
        <v>8.9077049144843432</v>
      </c>
      <c r="J43" s="112">
        <f>SQRT(B7*F43*H43)</f>
        <v>1887.143502002509</v>
      </c>
      <c r="K43" s="112">
        <f t="shared" si="3"/>
        <v>25.161913360033452</v>
      </c>
      <c r="L43" s="112">
        <f t="shared" si="4"/>
        <v>24.982749999999999</v>
      </c>
      <c r="M43" s="112">
        <f>(D11/L43)*100</f>
        <v>15.714785231161871</v>
      </c>
    </row>
    <row r="44" spans="1:13">
      <c r="A44" s="111">
        <v>13</v>
      </c>
      <c r="B44" s="112">
        <f>((0.0000000338)*(((A44*A44)*B12)*((A44*A44)*B12)))*1000</f>
        <v>168.2694592622889</v>
      </c>
      <c r="C44" s="112">
        <f>((0.000996)*SQRT(A44)*(B11/B5))*1000</f>
        <v>77.092742154539863</v>
      </c>
      <c r="D44" s="112">
        <f>C44+B6</f>
        <v>77.092742154539863</v>
      </c>
      <c r="E44" s="113">
        <f t="shared" si="0"/>
        <v>-1.6380236041378367</v>
      </c>
      <c r="F44" s="112">
        <f>2*B3*A44*B17*1000000</f>
        <v>286.38913250495204</v>
      </c>
      <c r="G44" s="113">
        <f>(1/(2*B3*A44*F44*1000000))*1000000000000</f>
        <v>42.748437495036939</v>
      </c>
      <c r="H44" s="112">
        <f t="shared" si="1"/>
        <v>1167.2096633108758</v>
      </c>
      <c r="I44" s="113">
        <f t="shared" si="2"/>
        <v>11.137673383481548</v>
      </c>
      <c r="J44" s="112">
        <f>SQRT(B7*F44*H44)</f>
        <v>1828.3220802883691</v>
      </c>
      <c r="K44" s="112">
        <f t="shared" si="3"/>
        <v>24.377627737178255</v>
      </c>
      <c r="L44" s="112">
        <f t="shared" si="4"/>
        <v>23.061</v>
      </c>
      <c r="M44" s="112">
        <f>(D11/L44)*100</f>
        <v>17.02435066709203</v>
      </c>
    </row>
    <row r="45" spans="1:13">
      <c r="A45" s="111">
        <v>14</v>
      </c>
      <c r="B45" s="112">
        <f>((0.0000000338)*(((A45*A45)*B12)*((A45*A45)*B12)))*1000</f>
        <v>226.33099495886307</v>
      </c>
      <c r="C45" s="112">
        <f>((0.000996)*SQRT(A45)*(B11/B5))*1000</f>
        <v>80.002919418216393</v>
      </c>
      <c r="D45" s="112">
        <f>C45+B6</f>
        <v>80.002919418216393</v>
      </c>
      <c r="E45" s="113">
        <f t="shared" si="0"/>
        <v>-1.3145104782033543</v>
      </c>
      <c r="F45" s="112">
        <f>2*B3*A45*B17*1000000</f>
        <v>308.41906577456376</v>
      </c>
      <c r="G45" s="113">
        <f>(1/(2*B3*A45*F45*1000000))*1000000000000</f>
        <v>36.859622125822675</v>
      </c>
      <c r="H45" s="112">
        <f t="shared" si="1"/>
        <v>1006.8067925215671</v>
      </c>
      <c r="I45" s="113">
        <f t="shared" si="2"/>
        <v>13.905349173237825</v>
      </c>
      <c r="J45" s="112">
        <f>SQRT(B7*F45*H45)</f>
        <v>1762.1532577077023</v>
      </c>
      <c r="K45" s="112">
        <f t="shared" si="3"/>
        <v>23.495376769436032</v>
      </c>
      <c r="L45" s="112">
        <f t="shared" si="4"/>
        <v>21.413785714285716</v>
      </c>
      <c r="M45" s="112">
        <f>(D11/L45)*100</f>
        <v>18.333916103022183</v>
      </c>
    </row>
    <row r="46" spans="1:13">
      <c r="A46" s="111">
        <v>15</v>
      </c>
      <c r="B46" s="112">
        <f>((0.0000000338)*(((A46*A46)*B12)*((A46*A46)*B12)))*1000</f>
        <v>298.26131350979915</v>
      </c>
      <c r="C46" s="112">
        <f>((0.000996)*SQRT(A46)*(B11/B5))*1000</f>
        <v>82.810889006029186</v>
      </c>
      <c r="D46" s="112">
        <f>C46+B6</f>
        <v>82.810889006029186</v>
      </c>
      <c r="E46" s="113">
        <f t="shared" si="0"/>
        <v>-1.0641034400848148</v>
      </c>
      <c r="F46" s="112">
        <f>2*B3*A46*B17*1000000</f>
        <v>330.44899904417542</v>
      </c>
      <c r="G46" s="113">
        <f>(1/(2*B3*A46*F46*1000000))*1000000000000</f>
        <v>32.108826385161088</v>
      </c>
      <c r="H46" s="112">
        <f t="shared" si="1"/>
        <v>867.15587456277342</v>
      </c>
      <c r="I46" s="113">
        <f t="shared" si="2"/>
        <v>17.297928134965488</v>
      </c>
      <c r="J46" s="112">
        <f>SQRT(B7*F46*H46)</f>
        <v>1692.7811162833341</v>
      </c>
      <c r="K46" s="112">
        <f t="shared" si="3"/>
        <v>22.570414883777786</v>
      </c>
      <c r="L46" s="112">
        <f t="shared" si="4"/>
        <v>19.9862</v>
      </c>
      <c r="M46" s="112">
        <f>(D11/L46)*100</f>
        <v>19.643481538952337</v>
      </c>
    </row>
    <row r="47" spans="1:13">
      <c r="A47" s="111">
        <v>16</v>
      </c>
      <c r="B47" s="112">
        <f>((0.0000000338)*(((A47*A47)*B12)*((A47*A47)*B12)))*1000</f>
        <v>386.11068527759403</v>
      </c>
      <c r="C47" s="112">
        <f>((0.000996)*SQRT(A47)*(B11/B5))*1000</f>
        <v>85.526718401328509</v>
      </c>
      <c r="D47" s="112">
        <f>C47+B6</f>
        <v>85.526718401328509</v>
      </c>
      <c r="E47" s="113">
        <f t="shared" si="0"/>
        <v>-0.86896419437151962</v>
      </c>
      <c r="F47" s="112">
        <f>2*B3*A47*B17*1000000</f>
        <v>352.47893231378714</v>
      </c>
      <c r="G47" s="113">
        <f>(1/(2*B3*A47*F47*1000000))*1000000000000</f>
        <v>28.220648190082979</v>
      </c>
      <c r="H47" s="112">
        <f t="shared" si="1"/>
        <v>747.35152378572775</v>
      </c>
      <c r="I47" s="113">
        <f t="shared" si="2"/>
        <v>21.408934739239712</v>
      </c>
      <c r="J47" s="112">
        <f>SQRT(B7*F47*H47)</f>
        <v>1623.0393315230385</v>
      </c>
      <c r="K47" s="112">
        <f t="shared" si="3"/>
        <v>21.64052442030718</v>
      </c>
      <c r="L47" s="112">
        <f t="shared" si="4"/>
        <v>18.7370625</v>
      </c>
      <c r="M47" s="112">
        <f>(D11/L47)*100</f>
        <v>20.953046974882493</v>
      </c>
    </row>
    <row r="48" spans="1:13">
      <c r="A48" s="111">
        <v>17</v>
      </c>
      <c r="B48" s="112">
        <f>((0.0000000338)*(((A48*A48)*B12)*((A48*A48)*B12)))*1000</f>
        <v>492.07077858077895</v>
      </c>
      <c r="C48" s="112">
        <f>((0.000996)*SQRT(A48)*(B11/B5))*1000</f>
        <v>88.158923445283762</v>
      </c>
      <c r="D48" s="112">
        <f>C48+B6</f>
        <v>88.158923445283762</v>
      </c>
      <c r="E48" s="113">
        <f t="shared" si="0"/>
        <v>-0.71572381218786563</v>
      </c>
      <c r="F48" s="112">
        <f>2*B3*A48*B17*1000000</f>
        <v>374.50886558339886</v>
      </c>
      <c r="G48" s="113">
        <f>(1/(2*B3*A48*F48*1000000))*1000000000000</f>
        <v>24.998221234121946</v>
      </c>
      <c r="H48" s="112">
        <f t="shared" si="1"/>
        <v>645.44931821945352</v>
      </c>
      <c r="I48" s="113">
        <f t="shared" si="2"/>
        <v>26.338241470138144</v>
      </c>
      <c r="J48" s="112">
        <f>SQRT(B7*F48*H48)</f>
        <v>1554.7555819418876</v>
      </c>
      <c r="K48" s="112">
        <f t="shared" si="3"/>
        <v>20.730074425891832</v>
      </c>
      <c r="L48" s="112">
        <f t="shared" si="4"/>
        <v>17.634882352941176</v>
      </c>
      <c r="M48" s="112">
        <f>(D11/L48)*100</f>
        <v>22.26261241081265</v>
      </c>
    </row>
    <row r="49" spans="1:13">
      <c r="A49" s="111">
        <v>18</v>
      </c>
      <c r="B49" s="112">
        <f>((0.0000000338)*(((A49*A49)*B12)*((A49*A49)*B12)))*1000</f>
        <v>618.47465969391942</v>
      </c>
      <c r="C49" s="112">
        <f>((0.000996)*SQRT(A49)*(B11/B5))*1000</f>
        <v>90.714783831317476</v>
      </c>
      <c r="D49" s="112">
        <f>C49+B6</f>
        <v>90.714783831317476</v>
      </c>
      <c r="E49" s="113">
        <f t="shared" si="0"/>
        <v>-0.59440352085177528</v>
      </c>
      <c r="F49" s="112">
        <f>2*B3*A49*B17*1000000</f>
        <v>396.53879885301052</v>
      </c>
      <c r="G49" s="113">
        <f>(1/(2*B3*A49*F49*1000000))*1000000000000</f>
        <v>22.297796100806309</v>
      </c>
      <c r="H49" s="112">
        <f t="shared" si="1"/>
        <v>559.14368505246853</v>
      </c>
      <c r="I49" s="113">
        <f t="shared" si="2"/>
        <v>32.192083146411512</v>
      </c>
      <c r="J49" s="112">
        <f>SQRT(B7*F49*H49)</f>
        <v>1489.0337983301517</v>
      </c>
      <c r="K49" s="112">
        <f t="shared" si="3"/>
        <v>19.853783977735358</v>
      </c>
      <c r="L49" s="112">
        <f t="shared" si="4"/>
        <v>16.655166666666666</v>
      </c>
      <c r="M49" s="112">
        <f>(D11/L49)*100</f>
        <v>23.572177846742807</v>
      </c>
    </row>
    <row r="50" spans="1:13">
      <c r="A50" s="111">
        <v>19</v>
      </c>
      <c r="B50" s="112">
        <f>((0.0000000338)*(((A50*A50)*B12)*((A50*A50)*B12)))*1000</f>
        <v>767.79679284761551</v>
      </c>
      <c r="C50" s="112">
        <f>((0.000996)*SQRT(A50)*(B11/B5))*1000</f>
        <v>93.200580621012904</v>
      </c>
      <c r="D50" s="112">
        <f>C50+B6</f>
        <v>93.200580621012904</v>
      </c>
      <c r="E50" s="113">
        <f t="shared" si="0"/>
        <v>-0.49755532910401645</v>
      </c>
      <c r="F50" s="112">
        <f>2*B3*A50*B17*1000000</f>
        <v>418.56873212262218</v>
      </c>
      <c r="G50" s="113">
        <f>(1/(2*B3*A50*F50*1000000))*1000000000000</f>
        <v>20.012426417344166</v>
      </c>
      <c r="H50" s="112">
        <f t="shared" si="1"/>
        <v>486.14402903038967</v>
      </c>
      <c r="I50" s="113">
        <f t="shared" si="2"/>
        <v>39.08306770299194</v>
      </c>
      <c r="J50" s="112">
        <f>SQRT(B7*F50*H50)</f>
        <v>1426.4805987472575</v>
      </c>
      <c r="K50" s="112">
        <f t="shared" si="3"/>
        <v>19.0197413166301</v>
      </c>
      <c r="L50" s="112">
        <f t="shared" si="4"/>
        <v>15.778578947368421</v>
      </c>
      <c r="M50" s="112">
        <f>(D11/L50)*100</f>
        <v>24.881743282672961</v>
      </c>
    </row>
    <row r="51" spans="1:13">
      <c r="A51" s="111">
        <v>20</v>
      </c>
      <c r="B51" s="112">
        <f>((0.0000000338)*(((A51*A51)*B12)*((A51*A51)*B12)))*1000</f>
        <v>942.65304022850114</v>
      </c>
      <c r="C51" s="112">
        <f>((0.000996)*SQRT(A51)*(B11/B5))*1000</f>
        <v>95.621778118926343</v>
      </c>
      <c r="D51" s="112">
        <f>C51+B6</f>
        <v>95.621778118926343</v>
      </c>
      <c r="E51" s="113">
        <f t="shared" si="0"/>
        <v>-0.41960448496396874</v>
      </c>
      <c r="F51" s="112">
        <f>2*B3*A51*B17*1000000</f>
        <v>440.59866539223395</v>
      </c>
      <c r="G51" s="113">
        <f>(1/(2*B3*A51*F51*1000000))*1000000000000</f>
        <v>18.061214841653108</v>
      </c>
      <c r="H51" s="112">
        <f t="shared" si="1"/>
        <v>424.35649753454851</v>
      </c>
      <c r="I51" s="113">
        <f t="shared" si="2"/>
        <v>47.130184446796939</v>
      </c>
      <c r="J51" s="112">
        <f>SQRT(B7*F51*H51)</f>
        <v>1367.3730524777973</v>
      </c>
      <c r="K51" s="112">
        <f t="shared" si="3"/>
        <v>18.231640699703966</v>
      </c>
      <c r="L51" s="112">
        <f t="shared" si="4"/>
        <v>14.989650000000001</v>
      </c>
      <c r="M51" s="112">
        <f>(D11/L51)*100</f>
        <v>26.191308718603118</v>
      </c>
    </row>
    <row r="52" spans="1:13">
      <c r="A52" s="111">
        <v>21</v>
      </c>
      <c r="B52" s="112">
        <f>((0.0000000338)*(((A52*A52)*B12)*((A52*A52)*B12)))*1000</f>
        <v>1145.8006619792443</v>
      </c>
      <c r="C52" s="112">
        <f>((0.000996)*SQRT(A52)*(B11/B5))*1000</f>
        <v>97.983165253815102</v>
      </c>
      <c r="D52" s="112">
        <f>C52+B6</f>
        <v>97.983165253815102</v>
      </c>
      <c r="E52" s="113">
        <f t="shared" si="0"/>
        <v>-0.35635836612283645</v>
      </c>
      <c r="F52" s="112">
        <f>2*B3*A52*B17*1000000</f>
        <v>462.62859866184567</v>
      </c>
      <c r="G52" s="113">
        <f>(1/(2*B3*A52*F52*1000000))*1000000000000</f>
        <v>16.382054278143407</v>
      </c>
      <c r="H52" s="112">
        <f t="shared" si="1"/>
        <v>371.95257610883749</v>
      </c>
      <c r="I52" s="113">
        <f t="shared" si="2"/>
        <v>56.45881047441695</v>
      </c>
      <c r="J52" s="112">
        <f>SQRT(B7*F52*H52)</f>
        <v>1311.777035375658</v>
      </c>
      <c r="K52" s="112">
        <f t="shared" si="3"/>
        <v>17.490360471675437</v>
      </c>
      <c r="L52" s="112">
        <f t="shared" si="4"/>
        <v>14.275857142857143</v>
      </c>
      <c r="M52" s="112">
        <f>(D11/L52)*100</f>
        <v>27.500874154533271</v>
      </c>
    </row>
    <row r="53" spans="1:13">
      <c r="A53" s="111">
        <v>22</v>
      </c>
      <c r="B53" s="112">
        <f>((0.0000000338)*(((A53*A53)*B12)*((A53*A53)*B12)))*1000</f>
        <v>1380.1383161985484</v>
      </c>
      <c r="C53" s="112">
        <f>((0.000996)*SQRT(A53)*(B11/B5))*1000</f>
        <v>100.28896696889294</v>
      </c>
      <c r="D53" s="112">
        <f>C53+B6</f>
        <v>100.28896696889294</v>
      </c>
      <c r="E53" s="113">
        <f t="shared" si="0"/>
        <v>-0.30464467041503007</v>
      </c>
      <c r="F53" s="112">
        <f>2*B3*A53*B17*1000000</f>
        <v>484.65853193145728</v>
      </c>
      <c r="G53" s="113">
        <f>(1/(2*B3*A53*F53*1000000))*1000000000000</f>
        <v>14.926623836076953</v>
      </c>
      <c r="H53" s="112">
        <f t="shared" si="1"/>
        <v>327.3774655750118</v>
      </c>
      <c r="I53" s="113">
        <f t="shared" si="2"/>
        <v>67.200715728429245</v>
      </c>
      <c r="J53" s="112">
        <f>SQRT(B7*F53*H53)</f>
        <v>1259.6280476911684</v>
      </c>
      <c r="K53" s="112">
        <f t="shared" si="3"/>
        <v>16.795040635882245</v>
      </c>
      <c r="L53" s="112">
        <f t="shared" si="4"/>
        <v>13.626954545454545</v>
      </c>
      <c r="M53" s="112">
        <f>(D11/L53)*100</f>
        <v>28.810439590463432</v>
      </c>
    </row>
    <row r="54" spans="1:13">
      <c r="A54" s="111">
        <v>23</v>
      </c>
      <c r="B54" s="112">
        <f>((0.0000000338)*(((A54*A54)*B12)*((A54*A54)*B12)))*1000</f>
        <v>1648.7060589411494</v>
      </c>
      <c r="C54" s="112">
        <f>((0.000996)*SQRT(A54)*(B11/B5))*1000</f>
        <v>102.54293304864531</v>
      </c>
      <c r="D54" s="112">
        <f>C54+B6</f>
        <v>102.54293304864531</v>
      </c>
      <c r="E54" s="113">
        <f t="shared" si="0"/>
        <v>-0.26204664356849416</v>
      </c>
      <c r="F54" s="112">
        <f>2*B3*A54*B17*1000000</f>
        <v>506.68846520106899</v>
      </c>
      <c r="G54" s="113">
        <f>(1/(2*B3*A54*F54*1000000))*1000000000000</f>
        <v>13.65687322620273</v>
      </c>
      <c r="H54" s="112">
        <f t="shared" si="1"/>
        <v>289.32976836455566</v>
      </c>
      <c r="I54" s="113">
        <f t="shared" si="2"/>
        <v>79.494067029494133</v>
      </c>
      <c r="J54" s="112">
        <f>SQRT(B7*F54*H54)</f>
        <v>1210.7851017815569</v>
      </c>
      <c r="K54" s="112">
        <f t="shared" si="3"/>
        <v>16.143801357087426</v>
      </c>
      <c r="L54" s="112">
        <f t="shared" si="4"/>
        <v>13.034478260869566</v>
      </c>
      <c r="M54" s="112">
        <f>(D11/L54)*100</f>
        <v>30.120005026393581</v>
      </c>
    </row>
    <row r="55" spans="1:13">
      <c r="A55" s="111">
        <v>24</v>
      </c>
      <c r="B55" s="112">
        <f>((0.0000000338)*(((A55*A55)*B12)*((A55*A55)*B12)))*1000</f>
        <v>1954.6853442178199</v>
      </c>
      <c r="C55" s="112">
        <f>((0.000996)*SQRT(A55)*(B11/B5))*1000</f>
        <v>104.74840972897974</v>
      </c>
      <c r="D55" s="112">
        <f>C55+B6</f>
        <v>104.74840972897974</v>
      </c>
      <c r="E55" s="113">
        <f t="shared" si="0"/>
        <v>-0.22670969778934097</v>
      </c>
      <c r="F55" s="112">
        <f>2*B3*A55*B17*1000000</f>
        <v>528.71839847068065</v>
      </c>
      <c r="G55" s="113">
        <f>(1/(2*B3*A55*F55*1000000))*1000000000000</f>
        <v>12.542510306703548</v>
      </c>
      <c r="H55" s="112">
        <f t="shared" si="1"/>
        <v>256.7299858310173</v>
      </c>
      <c r="I55" s="113">
        <f t="shared" si="2"/>
        <v>93.483431326939268</v>
      </c>
      <c r="J55" s="112">
        <f>SQRT(B7*F55*H55)</f>
        <v>1165.0659506996847</v>
      </c>
      <c r="K55" s="112">
        <f t="shared" si="3"/>
        <v>15.534212675995796</v>
      </c>
      <c r="L55" s="112">
        <f t="shared" si="4"/>
        <v>12.491375</v>
      </c>
      <c r="M55" s="112">
        <f>(D11/L55)*100</f>
        <v>31.429570462323742</v>
      </c>
    </row>
    <row r="56" spans="1:13">
      <c r="A56" s="111">
        <v>25</v>
      </c>
      <c r="B56" s="112">
        <f>((0.0000000338)*(((A56*A56)*B12)*((A56*A56)*B12)))*1000</f>
        <v>2301.3990239953637</v>
      </c>
      <c r="C56" s="112">
        <f>((0.000996)*SQRT(A56)*(B11/B5))*1000</f>
        <v>106.90839800166064</v>
      </c>
      <c r="D56" s="112">
        <f>C56+B6</f>
        <v>106.90839800166064</v>
      </c>
      <c r="E56" s="113">
        <f t="shared" si="0"/>
        <v>-0.19719999518304551</v>
      </c>
      <c r="F56" s="112">
        <f>2*B3*A56*B17*1000000</f>
        <v>550.74833174029243</v>
      </c>
      <c r="G56" s="113">
        <f>(1/(2*B3*A56*F56*1000000))*1000000000000</f>
        <v>11.55917749865799</v>
      </c>
      <c r="H56" s="112">
        <f t="shared" si="1"/>
        <v>228.68688885391512</v>
      </c>
      <c r="I56" s="113">
        <f t="shared" si="2"/>
        <v>109.31977834536009</v>
      </c>
      <c r="J56" s="112">
        <f>SQRT(B7*F56*H56)</f>
        <v>1122.2696758229345</v>
      </c>
      <c r="K56" s="112">
        <f t="shared" si="3"/>
        <v>14.963595677639127</v>
      </c>
      <c r="L56" s="112">
        <f t="shared" si="4"/>
        <v>11.991720000000001</v>
      </c>
      <c r="M56" s="112">
        <f>(D11/L56)*100</f>
        <v>32.739135898253899</v>
      </c>
    </row>
    <row r="57" spans="1:13">
      <c r="A57" s="111">
        <v>26</v>
      </c>
      <c r="B57" s="112">
        <f>((0.0000000338)*(((A57*A57)*B12)*((A57*A57)*B12)))*1000</f>
        <v>2692.3113481966225</v>
      </c>
      <c r="C57" s="112">
        <f>((0.000996)*SQRT(A57)*(B11/B5))*1000</f>
        <v>109.02560151548228</v>
      </c>
      <c r="D57" s="112">
        <f>C57+B6</f>
        <v>109.02560151548228</v>
      </c>
      <c r="E57" s="113">
        <f t="shared" si="0"/>
        <v>-0.17240067893753738</v>
      </c>
      <c r="F57" s="112">
        <f>2*B3*A57*B17*1000000</f>
        <v>572.77826500990409</v>
      </c>
      <c r="G57" s="113">
        <f>(1/(2*B3*A57*F57*1000000))*1000000000000</f>
        <v>10.687109373759235</v>
      </c>
      <c r="H57" s="112">
        <f t="shared" si="1"/>
        <v>204.46603721439823</v>
      </c>
      <c r="I57" s="113">
        <f t="shared" si="2"/>
        <v>127.16048275898758</v>
      </c>
      <c r="J57" s="112">
        <f>SQRT(B7*F57*H57)</f>
        <v>1082.1908429159503</v>
      </c>
      <c r="K57" s="112">
        <f t="shared" si="3"/>
        <v>14.429211238879338</v>
      </c>
      <c r="L57" s="112">
        <f t="shared" si="4"/>
        <v>11.5305</v>
      </c>
      <c r="M57" s="112">
        <f>(D11/L57)*100</f>
        <v>34.048701334184059</v>
      </c>
    </row>
    <row r="58" spans="1:13">
      <c r="A58" s="111">
        <v>27</v>
      </c>
      <c r="B58" s="112">
        <f>((0.0000000338)*(((A58*A58)*B12)*((A58*A58)*B12)))*1000</f>
        <v>3131.0279647004672</v>
      </c>
      <c r="C58" s="112">
        <f>((0.000996)*SQRT(A58)*(B11/B5))*1000</f>
        <v>111.10246625680276</v>
      </c>
      <c r="D58" s="112">
        <f>C58+B6</f>
        <v>111.10246625680276</v>
      </c>
      <c r="E58" s="113">
        <f t="shared" si="0"/>
        <v>-0.15143536012768766</v>
      </c>
      <c r="F58" s="112">
        <f>2*B3*A58*B17*1000000</f>
        <v>594.80819827951575</v>
      </c>
      <c r="G58" s="113">
        <f>(1/(2*B3*A58*F58*1000000))*1000000000000</f>
        <v>9.9101316003583602</v>
      </c>
      <c r="H58" s="112">
        <f t="shared" si="1"/>
        <v>183.46214347209124</v>
      </c>
      <c r="I58" s="113">
        <f t="shared" si="2"/>
        <v>147.16932599289788</v>
      </c>
      <c r="J58" s="112">
        <f>SQRT(B7*F58*H58)</f>
        <v>1044.6281013410112</v>
      </c>
      <c r="K58" s="112">
        <f t="shared" si="3"/>
        <v>13.928374684546815</v>
      </c>
      <c r="L58" s="112">
        <f t="shared" si="4"/>
        <v>11.103444444444445</v>
      </c>
      <c r="M58" s="112">
        <f>(D11/L58)*100</f>
        <v>35.358266770114206</v>
      </c>
    </row>
    <row r="59" spans="1:13">
      <c r="A59" s="111">
        <v>28</v>
      </c>
      <c r="B59" s="112">
        <f>((0.0000000338)*(((A59*A59)*B12)*((A59*A59)*B12)))*1000</f>
        <v>3621.2959193418092</v>
      </c>
      <c r="C59" s="112">
        <f>((0.000996)*SQRT(A59)*(B11/B5))*1000</f>
        <v>113.14121367068347</v>
      </c>
      <c r="D59" s="112">
        <f>C59+B6</f>
        <v>113.14121367068347</v>
      </c>
      <c r="E59" s="113">
        <f t="shared" si="0"/>
        <v>-0.13361137493879299</v>
      </c>
      <c r="F59" s="112">
        <f>2*B3*A59*B17*1000000</f>
        <v>616.83813154912752</v>
      </c>
      <c r="G59" s="113">
        <f>(1/(2*B3*A59*F59*1000000))*1000000000000</f>
        <v>9.2149055314556687</v>
      </c>
      <c r="H59" s="112">
        <f t="shared" si="1"/>
        <v>165.17566358160568</v>
      </c>
      <c r="I59" s="113">
        <f t="shared" si="2"/>
        <v>169.51649772647343</v>
      </c>
      <c r="J59" s="112">
        <f>SQRT(B7*F59*H59)</f>
        <v>1009.3891603393852</v>
      </c>
      <c r="K59" s="112">
        <f t="shared" si="3"/>
        <v>13.458522137858468</v>
      </c>
      <c r="L59" s="112">
        <f t="shared" si="4"/>
        <v>10.706892857142858</v>
      </c>
      <c r="M59" s="112">
        <f>(D11/L59)*100</f>
        <v>36.667832206044366</v>
      </c>
    </row>
    <row r="60" spans="1:13">
      <c r="A60" s="111">
        <v>29</v>
      </c>
      <c r="B60" s="112">
        <f>((0.0000000338)*(((A60*A60)*B12)*((A60*A60)*B12)))*1000</f>
        <v>4167.0036559115906</v>
      </c>
      <c r="C60" s="112">
        <f>((0.000996)*SQRT(A60)*(B11/B5))*1000</f>
        <v>115.14386850113431</v>
      </c>
      <c r="D60" s="112">
        <f>C60+B6</f>
        <v>115.14386850113431</v>
      </c>
      <c r="E60" s="113">
        <f t="shared" si="0"/>
        <v>-0.11837743625630756</v>
      </c>
      <c r="F60" s="112">
        <f>2*B3*A60*B17*1000000</f>
        <v>638.8680648187393</v>
      </c>
      <c r="G60" s="113">
        <f>(1/(2*B3*A60*F60*1000000))*1000000000000</f>
        <v>8.5903518866364337</v>
      </c>
      <c r="H60" s="112">
        <f t="shared" si="1"/>
        <v>149.19338046541421</v>
      </c>
      <c r="I60" s="113">
        <f t="shared" si="2"/>
        <v>194.37859715714893</v>
      </c>
      <c r="J60" s="112">
        <f>SQRT(B7*F60*H60)</f>
        <v>976.29343059197663</v>
      </c>
      <c r="K60" s="112">
        <f t="shared" si="3"/>
        <v>13.017245741226354</v>
      </c>
      <c r="L60" s="112">
        <f t="shared" si="4"/>
        <v>10.337689655172413</v>
      </c>
      <c r="M60" s="112">
        <f>(D11/L60)*100</f>
        <v>37.977397641974527</v>
      </c>
    </row>
    <row r="61" spans="1:13">
      <c r="A61" s="111">
        <v>30</v>
      </c>
      <c r="B61" s="112">
        <f>((0.0000000338)*(((A61*A61)*B12)*((A61*A61)*B12)))*1000</f>
        <v>4772.1810161567864</v>
      </c>
      <c r="C61" s="112">
        <f>((0.000996)*SQRT(A61)*(B11/B5))*1000</f>
        <v>117.1122823444995</v>
      </c>
      <c r="D61" s="112">
        <f>C61+B6</f>
        <v>117.1122823444995</v>
      </c>
      <c r="E61" s="113">
        <f t="shared" si="0"/>
        <v>-0.10529181697312956</v>
      </c>
      <c r="F61" s="112">
        <f>2*B3*A61*B17*1000000</f>
        <v>660.89799808835085</v>
      </c>
      <c r="G61" s="113">
        <f>(1/(2*B3*A61*F61*1000000))*1000000000000</f>
        <v>8.0272065962902719</v>
      </c>
      <c r="H61" s="112">
        <f t="shared" si="1"/>
        <v>135.17249993796361</v>
      </c>
      <c r="I61" s="113">
        <f t="shared" si="2"/>
        <v>221.93863406956498</v>
      </c>
      <c r="J61" s="112">
        <f>SQRT(B7*F61*H61)</f>
        <v>945.17318310242956</v>
      </c>
      <c r="K61" s="112">
        <f t="shared" si="3"/>
        <v>12.602309108032394</v>
      </c>
      <c r="L61" s="112">
        <f t="shared" si="4"/>
        <v>9.9931000000000001</v>
      </c>
      <c r="M61" s="112">
        <f>(D11/L61)*100</f>
        <v>39.286963077904673</v>
      </c>
    </row>
  </sheetData>
  <sheetProtection selectLockedCells="1" selectUnlockedCells="1"/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Colin Berry</cp:lastModifiedBy>
  <cp:revision/>
  <dcterms:created xsi:type="dcterms:W3CDTF">2019-03-13T21:24:40Z</dcterms:created>
  <dcterms:modified xsi:type="dcterms:W3CDTF">2023-03-29T09:40:42Z</dcterms:modified>
  <cp:category/>
  <cp:contentStatus/>
</cp:coreProperties>
</file>